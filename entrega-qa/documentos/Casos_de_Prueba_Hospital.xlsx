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58a7ab261f41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rtada" sheetId="1" r:id="R78cdf01e9b5f488e"/>
    <x:sheet xmlns:r="http://schemas.openxmlformats.org/officeDocument/2006/relationships" name="Resumen" sheetId="2" r:id="R4c05d7925f9b4897"/>
    <x:sheet xmlns:r="http://schemas.openxmlformats.org/officeDocument/2006/relationships" name="Casos de prueba" sheetId="3" r:id="Rd77f2f3951f94a2f"/>
    <x:sheet xmlns:r="http://schemas.openxmlformats.org/officeDocument/2006/relationships" name="HU-01" sheetId="4" r:id="Rb104e935a8e5448e"/>
    <x:sheet xmlns:r="http://schemas.openxmlformats.org/officeDocument/2006/relationships" name="HU-02" sheetId="5" r:id="R338f31f0cfac4f8f"/>
    <x:sheet xmlns:r="http://schemas.openxmlformats.org/officeDocument/2006/relationships" name="HU-03" sheetId="6" r:id="Rc3cbca6c9f8b4213"/>
    <x:sheet xmlns:r="http://schemas.openxmlformats.org/officeDocument/2006/relationships" name="HU-04" sheetId="7" r:id="Rdb46018599204c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10"/>
      <x:color rgb="FF000000"/>
      <x:name val="Arial"/>
    </x:font>
    <x:font>
      <x:b/>
      <x:sz val="15"/>
      <x:color rgb="FF000000"/>
      <x:name val="Arial"/>
    </x:font>
    <x:font>
      <x:sz val="11"/>
      <x:color rgb="FF000000"/>
      <x:name val="Arial"/>
    </x:font>
    <x:font>
      <x:b/>
      <x:sz val="10"/>
      <x:color rgb="FF000000"/>
      <x:name val="Arial"/>
    </x:font>
    <x:font>
      <x:i/>
      <x:sz val="10"/>
      <x:color rgb="FF000000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000000"/>
      </x:patternFill>
    </x:fill>
    <x:fill>
      <x:patternFill patternType="solid">
        <x:fgColor rgb="FFE8E8E8"/>
      </x:patternFill>
    </x:fill>
  </x:fills>
  <x:borders count="3">
    <x:border>
      <x:left/>
      <x:right/>
      <x:top/>
      <x:bottom/>
      <x:diagonal/>
    </x:border>
    <x:border>
      <x:left style="thin">
        <x:color rgb="FF999999"/>
      </x:left>
      <x:right style="thin">
        <x:color rgb="FF999999"/>
      </x:right>
      <x:top style="thin">
        <x:color rgb="FF999999"/>
      </x:top>
      <x:bottom style="thin">
        <x:color rgb="FF999999"/>
      </x:bottom>
      <x:diagonal/>
    </x:border>
    <x:border>
      <x:left style="thin">
        <x:color rgb="FFB3B3B3"/>
      </x:left>
      <x:right style="thin">
        <x:color rgb="FFB3B3B3"/>
      </x:right>
      <x:top style="thin">
        <x:color rgb="FFB3B3B3"/>
      </x:top>
      <x:bottom style="thin">
        <x:color rgb="FFB3B3B3"/>
      </x:bottom>
      <x:diagonal/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ed143dbd284f2a" /><Relationship Type="http://schemas.openxmlformats.org/officeDocument/2006/relationships/theme" Target="/xl/theme/theme1.xml" Id="Ra857ddc5f0fc48cd" /><Relationship Type="http://schemas.openxmlformats.org/officeDocument/2006/relationships/sharedStrings" Target="/xl/sharedStrings.xml" Id="R5efe92a0ce8f43fe" /><Relationship Type="http://schemas.openxmlformats.org/officeDocument/2006/relationships/worksheet" Target="/xl/worksheets/sheet1.xml" Id="R78cdf01e9b5f488e" /><Relationship Type="http://schemas.openxmlformats.org/officeDocument/2006/relationships/worksheet" Target="/xl/worksheets/sheet2.xml" Id="R4c05d7925f9b4897" /><Relationship Type="http://schemas.openxmlformats.org/officeDocument/2006/relationships/worksheet" Target="/xl/worksheets/sheet3.xml" Id="Rd77f2f3951f94a2f" /><Relationship Type="http://schemas.openxmlformats.org/officeDocument/2006/relationships/worksheet" Target="/xl/worksheets/sheet4.xml" Id="Rb104e935a8e5448e" /><Relationship Type="http://schemas.openxmlformats.org/officeDocument/2006/relationships/worksheet" Target="/xl/worksheets/sheet5.xml" Id="R338f31f0cfac4f8f" /><Relationship Type="http://schemas.openxmlformats.org/officeDocument/2006/relationships/worksheet" Target="/xl/worksheets/sheet6.xml" Id="Rc3cbca6c9f8b4213" /><Relationship Type="http://schemas.openxmlformats.org/officeDocument/2006/relationships/worksheet" Target="/xl/worksheets/sheet7.xml" Id="Rdb46018599204c6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23" hidden="0" customWidth="1"/>
    <x:col min="3" max="3" width="59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</x:cols>
  <x:sheetData>
    <x:row r="2" ht="35" customHeight="1">
      <x:c r="B2" s="3" t="str">
        <x:v>CASOS DE PRUEBA DEL PORTAL HOSPITALARIO</x:v>
      </x:c>
      <x:c r="C2" s="3"/>
      <x:c r="D2" s="3"/>
      <x:c r="E2" s="3"/>
      <x:c r="F2" s="3"/>
      <x:c r="G2" s="3"/>
    </x:row>
    <x:row r="3">
      <x:c r="B3" s="2"/>
      <x:c r="C3" s="2"/>
      <x:c r="D3" s="2"/>
      <x:c r="E3" s="2"/>
      <x:c r="F3" s="2"/>
      <x:c r="G3" s="2"/>
    </x:row>
    <x:row r="4">
      <x:c r="B4" s="4" t="str">
        <x:v>Software Quality Assurance · Cypress · equipo de cuatro</x:v>
      </x:c>
      <x:c r="C4" s="4"/>
      <x:c r="D4" s="4"/>
      <x:c r="E4" s="4"/>
      <x:c r="F4" s="4"/>
      <x:c r="G4" s="4"/>
    </x:row>
    <x:row r="5">
      <x:c r="B5" s="2"/>
      <x:c r="C5" s="2"/>
      <x:c r="D5" s="2"/>
      <x:c r="E5" s="2"/>
      <x:c r="F5" s="2"/>
      <x:c r="G5" s="2"/>
    </x:row>
    <x:row r="6">
      <x:c r="B6" s="2" t="str">
        <x:v>Proyecto</x:v>
      </x:c>
      <x:c r="C6" s="2" t="str">
        <x:v>Doctor Patient Portal</x:v>
      </x:c>
      <x:c r="D6" s="2"/>
      <x:c r="E6" s="2"/>
      <x:c r="F6" s="2"/>
      <x:c r="G6" s="2"/>
    </x:row>
    <x:row r="7">
      <x:c r="B7" s="2" t="str">
        <x:v>Ambiente ejecutado</x:v>
      </x:c>
      <x:c r="C7" s="2" t="str">
        <x:v>Tomcat 9, MariaDB 11.4.8, Chrome 155 y Cypress 16.1.1</x:v>
      </x:c>
      <x:c r="D7" s="2"/>
      <x:c r="E7" s="2"/>
      <x:c r="F7" s="2"/>
      <x:c r="G7" s="2"/>
    </x:row>
    <x:row r="8">
      <x:c r="B8" s="2" t="str">
        <x:v>URL local</x:v>
      </x:c>
      <x:c r="C8" s="2" t="str">
        <x:v>http://127.0.0.1:8080/Doctor-Patient-Portal/</x:v>
      </x:c>
      <x:c r="D8" s="2"/>
      <x:c r="E8" s="2"/>
      <x:c r="F8" s="2"/>
      <x:c r="G8" s="2"/>
    </x:row>
    <x:row r="9">
      <x:c r="B9" s="2" t="str">
        <x:v>Fecha de corte</x:v>
      </x:c>
      <x:c r="C9" s="2" t="str">
        <x:v>20/10/2026</x:v>
      </x:c>
      <x:c r="D9" s="2"/>
      <x:c r="E9" s="2"/>
      <x:c r="F9" s="2"/>
      <x:c r="G9" s="2"/>
    </x:row>
    <x:row r="10">
      <x:c r="B10" s="2" t="str">
        <x:v>Registro maestro</x:v>
      </x:c>
      <x:c r="C10" s="2" t="str">
        <x:v>Pestaña Casos de prueba</x:v>
      </x:c>
      <x:c r="D10" s="2"/>
      <x:c r="E10" s="2"/>
      <x:c r="F10" s="2"/>
      <x:c r="G10" s="2"/>
    </x:row>
    <x:row r="11">
      <x:c r="B11" s="2"/>
      <x:c r="C11" s="2"/>
      <x:c r="D11" s="2"/>
      <x:c r="E11" s="2"/>
      <x:c r="F11" s="2"/>
      <x:c r="G11" s="2"/>
    </x:row>
    <x:row r="12">
      <x:c r="B12" s="6" t="str">
        <x:v>Total de casos</x:v>
      </x:c>
      <x:c r="C12" s="5" t="n">
        <x:f>COUNTA('Casos de prueba'!$B$6:$B$200)</x:f>
        <x:v>10</x:v>
      </x:c>
      <x:c r="D12" s="2"/>
      <x:c r="E12" s="2"/>
      <x:c r="F12" s="2"/>
      <x:c r="G12" s="2"/>
    </x:row>
    <x:row r="13">
      <x:c r="B13" s="6" t="str">
        <x:v>OK individual</x:v>
      </x:c>
      <x:c r="C13" s="5" t="n">
        <x:f>COUNTIFS('Casos de prueba'!$J$6:$J$200,"OK")</x:f>
        <x:v>10</x:v>
      </x:c>
      <x:c r="D13" s="2"/>
      <x:c r="E13" s="2"/>
      <x:c r="F13" s="2"/>
      <x:c r="G13" s="2"/>
    </x:row>
    <x:row r="14">
      <x:c r="B14" s="6" t="str">
        <x:v>Pendiente</x:v>
      </x:c>
      <x:c r="C14" s="5" t="n">
        <x:f>COUNTIFS('Casos de prueba'!$J$6:$J$200,"PENDIENTE")</x:f>
        <x:v>0</x:v>
      </x:c>
      <x:c r="D14" s="2"/>
      <x:c r="E14" s="2"/>
      <x:c r="F14" s="2"/>
      <x:c r="G14" s="2"/>
    </x:row>
    <x:row r="15">
      <x:c r="B15" s="6" t="str">
        <x:v>Fallo</x:v>
      </x:c>
      <x:c r="C15" s="5" t="n">
        <x:f>COUNTIFS('Casos de prueba'!$J$6:$J$200,"FALLO")</x:f>
        <x:v>0</x:v>
      </x:c>
      <x:c r="D15" s="2"/>
      <x:c r="E15" s="2"/>
      <x:c r="F15" s="2"/>
      <x:c r="G15" s="2"/>
    </x:row>
    <x:row r="16">
      <x:c r="B16" s="6" t="str">
        <x:v>Validación final</x:v>
      </x:c>
      <x:c r="C16" s="5" t="str">
        <x:v>PR #4 abierta; falta validar tras merge en MySQL 8</x:v>
      </x:c>
      <x:c r="D16" s="2"/>
      <x:c r="E16" s="2"/>
      <x:c r="F16" s="2"/>
      <x:c r="G16" s="2"/>
    </x:row>
    <x:row r="17">
      <x:c r="B17" s="2"/>
      <x:c r="C17" s="2"/>
      <x:c r="D17" s="2"/>
      <x:c r="E17" s="2"/>
      <x:c r="F17" s="2"/>
      <x:c r="G17" s="2"/>
    </x:row>
    <x:row r="18">
      <x:c r="B18" s="2"/>
      <x:c r="C18" s="2"/>
      <x:c r="D18" s="2"/>
      <x:c r="E18" s="2"/>
      <x:c r="F18" s="2"/>
      <x:c r="G18" s="2"/>
    </x:row>
    <x:row r="19">
      <x:c r="B19" s="7" t="str">
        <x:v>Los 10 casos tienen evidencia; la suite integrada pasó en la rama de PR #4 con MariaDB.</x:v>
      </x:c>
      <x:c r="C19" s="7"/>
      <x:c r="D19" s="7"/>
      <x:c r="E19" s="7"/>
      <x:c r="F19" s="7"/>
      <x:c r="G19" s="7"/>
    </x:row>
    <x:row r="20">
      <x:c r="B20" s="2"/>
      <x:c r="C20" s="2"/>
      <x:c r="D20" s="2"/>
      <x:c r="E20" s="2"/>
      <x:c r="F20" s="2"/>
      <x:c r="G20" s="2"/>
    </x:row>
    <x:row r="21">
      <x:c r="B21" s="2"/>
      <x:c r="C21" s="2"/>
      <x:c r="D21" s="2"/>
      <x:c r="E21" s="2"/>
      <x:c r="F21" s="2"/>
      <x:c r="G21" s="2"/>
    </x:row>
    <x:row r="22">
      <x:c r="B22" s="2"/>
      <x:c r="C22" s="2"/>
      <x:c r="D22" s="2"/>
      <x:c r="E22" s="2"/>
      <x:c r="F22" s="2"/>
      <x:c r="G22" s="2"/>
    </x:row>
  </x:sheetData>
  <x:mergeCells>
    <x:mergeCell ref="B2:G2"/>
    <x:mergeCell ref="B4:G4"/>
    <x:mergeCell ref="B19:G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67" hidden="0" customWidth="1"/>
    <x:col min="4" max="4" width="15" hidden="0" customWidth="1"/>
    <x:col min="5" max="5" width="11" hidden="0" customWidth="1"/>
    <x:col min="6" max="6" width="11" hidden="0" customWidth="1"/>
    <x:col min="7" max="7" width="14" hidden="0" customWidth="1"/>
  </x:cols>
  <x:sheetData>
    <x:row r="1" ht="35" customHeight="1">
      <x:c r="A1" s="3" t="str">
        <x:v>TRAZABILIDAD HISTORIA CRITERIO Y CASO</x:v>
      </x:c>
      <x:c r="B1" s="3"/>
      <x:c r="C1" s="3"/>
      <x:c r="D1" s="3"/>
      <x:c r="E1" s="3"/>
      <x:c r="F1" s="3"/>
      <x:c r="G1" s="3"/>
    </x:row>
    <x:row r="2">
      <x:c r="A2" s="2"/>
      <x:c r="B2" s="2"/>
      <x:c r="C2" s="2"/>
      <x:c r="D2" s="2"/>
      <x:c r="E2" s="2"/>
      <x:c r="F2" s="2"/>
      <x:c r="G2" s="2"/>
    </x:row>
    <x:row r="3" ht="34" customHeight="1">
      <x:c r="A3" s="11" t="str">
        <x:v>Historia</x:v>
      </x:c>
      <x:c r="B3" s="11" t="str">
        <x:v>Criterio</x:v>
      </x:c>
      <x:c r="C3" s="11" t="str">
        <x:v>Enunciado</x:v>
      </x:c>
      <x:c r="D3" s="11" t="str">
        <x:v>Caso</x:v>
      </x:c>
      <x:c r="E3" s="11" t="str">
        <x:v>OK</x:v>
      </x:c>
      <x:c r="F3" s="11" t="str">
        <x:v>FALLO</x:v>
      </x:c>
      <x:c r="G3" s="11" t="str">
        <x:v>PENDIENTE</x:v>
      </x:c>
    </x:row>
    <x:row r="4" ht="47" customHeight="1">
      <x:c r="A4" s="15" t="str">
        <x:v>HU-01</x:v>
      </x:c>
      <x:c r="B4" s="15" t="str">
        <x:v>CA-01</x:v>
      </x:c>
      <x:c r="C4" s="15" t="str">
        <x:v>La portada y sus enlaces principales se muestran.</x:v>
      </x:c>
      <x:c r="D4" s="15" t="str">
        <x:v>TC-01</x:v>
      </x:c>
      <x:c r="E4" s="15" t="n">
        <x:f>IF('Casos de prueba'!J6="OK",1,0)</x:f>
        <x:v>1</x:v>
      </x:c>
      <x:c r="F4" s="15" t="n">
        <x:f>IF('Casos de prueba'!J6="FALLO",1,0)</x:f>
        <x:v>0</x:v>
      </x:c>
      <x:c r="G4" s="15" t="n">
        <x:f>IF('Casos de prueba'!J6="PENDIENTE",1,0)</x:f>
        <x:v>0</x:v>
      </x:c>
    </x:row>
    <x:row r="5" ht="47" customHeight="1">
      <x:c r="A5" s="15" t="str">
        <x:v>HU-01</x:v>
      </x:c>
      <x:c r="B5" s="15" t="str">
        <x:v>CA-02</x:v>
      </x:c>
      <x:c r="C5" s="15" t="str">
        <x:v>Los formularios principales se abren.</x:v>
      </x:c>
      <x:c r="D5" s="15" t="str">
        <x:v>TC-02</x:v>
      </x:c>
      <x:c r="E5" s="15" t="n">
        <x:f>IF('Casos de prueba'!J7="OK",1,0)</x:f>
        <x:v>1</x:v>
      </x:c>
      <x:c r="F5" s="15" t="n">
        <x:f>IF('Casos de prueba'!J7="FALLO",1,0)</x:f>
        <x:v>0</x:v>
      </x:c>
      <x:c r="G5" s="15" t="n">
        <x:f>IF('Casos de prueba'!J7="PENDIENTE",1,0)</x:f>
        <x:v>0</x:v>
      </x:c>
    </x:row>
    <x:row r="6" ht="47" customHeight="1">
      <x:c r="A6" s="15" t="str">
        <x:v>HU-02</x:v>
      </x:c>
      <x:c r="B6" s="15" t="str">
        <x:v>CA-01</x:v>
      </x:c>
      <x:c r="C6" s="15" t="str">
        <x:v>El login válido abre el panel.</x:v>
      </x:c>
      <x:c r="D6" s="15" t="str">
        <x:v>TC-03</x:v>
      </x:c>
      <x:c r="E6" s="15" t="n">
        <x:f>IF('Casos de prueba'!J9="OK",1,0)</x:f>
        <x:v>1</x:v>
      </x:c>
      <x:c r="F6" s="15" t="n">
        <x:f>IF('Casos de prueba'!J9="FALLO",1,0)</x:f>
        <x:v>0</x:v>
      </x:c>
      <x:c r="G6" s="15" t="n">
        <x:f>IF('Casos de prueba'!J9="PENDIENTE",1,0)</x:f>
        <x:v>0</x:v>
      </x:c>
    </x:row>
    <x:row r="7" ht="47" customHeight="1">
      <x:c r="A7" s="15" t="str">
        <x:v>HU-02</x:v>
      </x:c>
      <x:c r="B7" s="15" t="str">
        <x:v>CA-02</x:v>
      </x:c>
      <x:c r="C7" s="15" t="str">
        <x:v>El login inválido muestra error y niega acceso.</x:v>
      </x:c>
      <x:c r="D7" s="15" t="str">
        <x:v>TC-04</x:v>
      </x:c>
      <x:c r="E7" s="15" t="n">
        <x:f>IF('Casos de prueba'!J10="OK",1,0)</x:f>
        <x:v>1</x:v>
      </x:c>
      <x:c r="F7" s="15" t="n">
        <x:f>IF('Casos de prueba'!J10="FALLO",1,0)</x:f>
        <x:v>0</x:v>
      </x:c>
      <x:c r="G7" s="15" t="n">
        <x:f>IF('Casos de prueba'!J10="PENDIENTE",1,0)</x:f>
        <x:v>0</x:v>
      </x:c>
    </x:row>
    <x:row r="8" ht="47" customHeight="1">
      <x:c r="A8" s="15" t="str">
        <x:v>HU-02</x:v>
      </x:c>
      <x:c r="B8" s="15" t="str">
        <x:v>CA-03</x:v>
      </x:c>
      <x:c r="C8" s="15" t="str">
        <x:v>La especialidad nueva queda disponible.</x:v>
      </x:c>
      <x:c r="D8" s="15" t="str">
        <x:v>TC-07</x:v>
      </x:c>
      <x:c r="E8" s="15" t="n">
        <x:f>IF('Casos de prueba'!J11="OK",1,0)</x:f>
        <x:v>1</x:v>
      </x:c>
      <x:c r="F8" s="15" t="n">
        <x:f>IF('Casos de prueba'!J11="FALLO",1,0)</x:f>
        <x:v>0</x:v>
      </x:c>
      <x:c r="G8" s="15" t="n">
        <x:f>IF('Casos de prueba'!J11="PENDIENTE",1,0)</x:f>
        <x:v>0</x:v>
      </x:c>
    </x:row>
    <x:row r="9" ht="47" customHeight="1">
      <x:c r="A9" s="15" t="str">
        <x:v>HU-02</x:v>
      </x:c>
      <x:c r="B9" s="15" t="str">
        <x:v>CA-04</x:v>
      </x:c>
      <x:c r="C9" s="15" t="str">
        <x:v>El doctor registrado aparece en el listado.</x:v>
      </x:c>
      <x:c r="D9" s="15" t="str">
        <x:v>TC-08</x:v>
      </x:c>
      <x:c r="E9" s="15" t="n">
        <x:f>IF('Casos de prueba'!J12="OK",1,0)</x:f>
        <x:v>1</x:v>
      </x:c>
      <x:c r="F9" s="15" t="n">
        <x:f>IF('Casos de prueba'!J12="FALLO",1,0)</x:f>
        <x:v>0</x:v>
      </x:c>
      <x:c r="G9" s="15" t="n">
        <x:f>IF('Casos de prueba'!J12="PENDIENTE",1,0)</x:f>
        <x:v>0</x:v>
      </x:c>
    </x:row>
    <x:row r="10" ht="47" customHeight="1">
      <x:c r="A10" s="15" t="str">
        <x:v>HU-03</x:v>
      </x:c>
      <x:c r="B10" s="15" t="str">
        <x:v>CA-01</x:v>
      </x:c>
      <x:c r="C10" s="15" t="str">
        <x:v>Registro e inicio de sesión válidos funcionan.</x:v>
      </x:c>
      <x:c r="D10" s="15" t="str">
        <x:v>TC-05</x:v>
      </x:c>
      <x:c r="E10" s="15" t="n">
        <x:f>IF('Casos de prueba'!J14="OK",1,0)</x:f>
        <x:v>1</x:v>
      </x:c>
      <x:c r="F10" s="15" t="n">
        <x:f>IF('Casos de prueba'!J14="FALLO",1,0)</x:f>
        <x:v>0</x:v>
      </x:c>
      <x:c r="G10" s="15" t="n">
        <x:f>IF('Casos de prueba'!J14="PENDIENTE",1,0)</x:f>
        <x:v>0</x:v>
      </x:c>
    </x:row>
    <x:row r="11" ht="47" customHeight="1">
      <x:c r="A11" s="15" t="str">
        <x:v>HU-03</x:v>
      </x:c>
      <x:c r="B11" s="15" t="str">
        <x:v>CA-02</x:v>
      </x:c>
      <x:c r="C11" s="15" t="str">
        <x:v>Login inválido muestra error.</x:v>
      </x:c>
      <x:c r="D11" s="15" t="str">
        <x:v>TC-06</x:v>
      </x:c>
      <x:c r="E11" s="15" t="n">
        <x:f>IF('Casos de prueba'!J15="OK",1,0)</x:f>
        <x:v>1</x:v>
      </x:c>
      <x:c r="F11" s="15" t="n">
        <x:f>IF('Casos de prueba'!J15="FALLO",1,0)</x:f>
        <x:v>0</x:v>
      </x:c>
      <x:c r="G11" s="15" t="n">
        <x:f>IF('Casos de prueba'!J15="PENDIENTE",1,0)</x:f>
        <x:v>0</x:v>
      </x:c>
    </x:row>
    <x:row r="12" ht="47" customHeight="1">
      <x:c r="A12" s="15" t="str">
        <x:v>HU-03</x:v>
      </x:c>
      <x:c r="B12" s="15" t="str">
        <x:v>CA-03</x:v>
      </x:c>
      <x:c r="C12" s="15" t="str">
        <x:v>La cita se guarda con doctor y estado Pending.</x:v>
      </x:c>
      <x:c r="D12" s="15" t="str">
        <x:v>TC-09</x:v>
      </x:c>
      <x:c r="E12" s="15" t="n">
        <x:f>IF('Casos de prueba'!J16="OK",1,0)</x:f>
        <x:v>1</x:v>
      </x:c>
      <x:c r="F12" s="15" t="n">
        <x:f>IF('Casos de prueba'!J16="FALLO",1,0)</x:f>
        <x:v>0</x:v>
      </x:c>
      <x:c r="G12" s="15" t="n">
        <x:f>IF('Casos de prueba'!J16="PENDIENTE",1,0)</x:f>
        <x:v>0</x:v>
      </x:c>
    </x:row>
    <x:row r="13" ht="47" customHeight="1">
      <x:c r="A13" s="15" t="str">
        <x:v>HU-04</x:v>
      </x:c>
      <x:c r="B13" s="15" t="str">
        <x:v>CA-01</x:v>
      </x:c>
      <x:c r="C13" s="15" t="str">
        <x:v>La cita se muestra y el comentario sustituye el estado inicial.</x:v>
      </x:c>
      <x:c r="D13" s="15" t="str">
        <x:v>TC-10</x:v>
      </x:c>
      <x:c r="E13" s="15" t="n">
        <x:f>IF('Casos de prueba'!J18="OK",1,0)</x:f>
        <x:v>1</x:v>
      </x:c>
      <x:c r="F13" s="15" t="n">
        <x:f>IF('Casos de prueba'!J18="FALLO",1,0)</x:f>
        <x:v>0</x:v>
      </x:c>
      <x:c r="G13" s="15" t="n">
        <x:f>IF('Casos de prueba'!J18="PENDIENTE",1,0)</x:f>
        <x:v>0</x:v>
      </x:c>
    </x:row>
    <x:row r="14">
      <x:c r="A14" s="2"/>
      <x:c r="B14" s="2"/>
      <x:c r="C14" s="2"/>
      <x:c r="D14" s="2"/>
      <x:c r="E14" s="2"/>
      <x:c r="F14" s="2"/>
      <x:c r="G14" s="2"/>
    </x:row>
    <x:row r="15">
      <x:c r="A15" s="2"/>
      <x:c r="B15" s="2"/>
      <x:c r="C15" s="2"/>
      <x:c r="D15" s="2"/>
      <x:c r="E15" s="2"/>
      <x:c r="F15" s="2"/>
      <x:c r="G15" s="2"/>
    </x:row>
    <x:row r="16">
      <x:c r="A16" s="2"/>
      <x:c r="B16" s="2"/>
      <x:c r="C16" s="2"/>
      <x:c r="D16" s="2"/>
      <x:c r="E16" s="2"/>
      <x:c r="F16" s="2"/>
      <x:c r="G16" s="2"/>
    </x:row>
    <x:row r="17">
      <x:c r="A17" s="2"/>
      <x:c r="B17" s="2"/>
      <x:c r="C17" s="2"/>
      <x:c r="D17" s="2"/>
      <x:c r="E17" s="2"/>
      <x:c r="F17" s="2"/>
      <x:c r="G17" s="2"/>
    </x:row>
    <x:row r="18">
      <x:c r="A18" s="2"/>
      <x:c r="B18" s="2"/>
      <x:c r="C18" s="2"/>
      <x:c r="D18" s="2"/>
      <x:c r="E18" s="2"/>
      <x:c r="F18" s="2"/>
      <x:c r="G18" s="2"/>
    </x:row>
    <x:row r="19">
      <x:c r="A19" s="2"/>
      <x:c r="B19" s="2"/>
      <x:c r="C19" s="2"/>
      <x:c r="D19" s="2"/>
      <x:c r="E19" s="2"/>
      <x:c r="F19" s="2"/>
      <x:c r="G19" s="2"/>
    </x:row>
    <x:row r="20">
      <x:c r="A20" s="2"/>
      <x:c r="B20" s="2"/>
      <x:c r="C20" s="2"/>
      <x:c r="D20" s="2"/>
      <x:c r="E20" s="2"/>
      <x:c r="F20" s="2"/>
      <x:c r="G20" s="2"/>
    </x:row>
    <x:row r="21">
      <x:c r="A21" s="2"/>
      <x:c r="B21" s="2"/>
      <x:c r="C21" s="2"/>
      <x:c r="D21" s="2"/>
      <x:c r="E21" s="2"/>
      <x:c r="F21" s="2"/>
      <x:c r="G21" s="2"/>
    </x:row>
    <x:row r="22">
      <x:c r="A22" s="2"/>
      <x:c r="B22" s="2"/>
      <x:c r="C22" s="2"/>
      <x:c r="D22" s="2"/>
      <x:c r="E22" s="2"/>
      <x:c r="F22" s="2"/>
      <x:c r="G22" s="2"/>
    </x:row>
    <x:row r="23">
      <x:c r="A23" s="2"/>
      <x:c r="B23" s="2"/>
      <x:c r="C23" s="2"/>
      <x:c r="D23" s="2"/>
      <x:c r="E23" s="2"/>
      <x:c r="F23" s="2"/>
      <x:c r="G23" s="2"/>
    </x:row>
    <x:row r="24">
      <x:c r="A24" s="2"/>
      <x:c r="B24" s="2"/>
      <x:c r="C24" s="2"/>
      <x:c r="D24" s="2"/>
      <x:c r="E24" s="2"/>
      <x:c r="F24" s="2"/>
      <x:c r="G24" s="2"/>
    </x:row>
    <x:row r="25">
      <x:c r="A25" s="2"/>
      <x:c r="B25" s="2"/>
      <x:c r="C25" s="2"/>
      <x:c r="D25" s="2"/>
      <x:c r="E25" s="2"/>
      <x:c r="F25" s="2"/>
      <x:c r="G25" s="2"/>
    </x:row>
    <x:row r="26">
      <x:c r="A26" s="2"/>
      <x:c r="B26" s="2"/>
      <x:c r="C26" s="2"/>
      <x:c r="D26" s="2"/>
      <x:c r="E26" s="2"/>
      <x:c r="F26" s="2"/>
      <x:c r="G26" s="2"/>
    </x:row>
    <x:row r="27">
      <x:c r="A27" s="2"/>
      <x:c r="B27" s="2"/>
      <x:c r="C27" s="2"/>
      <x:c r="D27" s="2"/>
      <x:c r="E27" s="2"/>
      <x:c r="F27" s="2"/>
      <x:c r="G27" s="2"/>
    </x:row>
    <x:row r="28">
      <x:c r="A28" s="2"/>
      <x:c r="B28" s="2"/>
      <x:c r="C28" s="2"/>
      <x:c r="D28" s="2"/>
      <x:c r="E28" s="2"/>
      <x:c r="F28" s="2"/>
      <x:c r="G28" s="2"/>
    </x:row>
    <x:row r="29">
      <x:c r="A29" s="2"/>
      <x:c r="B29" s="2"/>
      <x:c r="C29" s="2"/>
      <x:c r="D29" s="2"/>
      <x:c r="E29" s="2"/>
      <x:c r="F29" s="2"/>
      <x:c r="G29" s="2"/>
    </x:row>
    <x:row r="30">
      <x:c r="A30" s="2"/>
      <x:c r="B30" s="2"/>
      <x:c r="C30" s="2"/>
      <x:c r="D30" s="2"/>
      <x:c r="E30" s="2"/>
      <x:c r="F30" s="2"/>
      <x:c r="G30" s="2"/>
    </x:row>
  </x:sheetData>
  <x:mergeCells>
    <x:mergeCell ref="A1:G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6" hidden="0" customWidth="1"/>
    <x:col min="2" max="2" width="10" hidden="0" customWidth="1"/>
    <x:col min="3" max="3" width="31" hidden="0" customWidth="1"/>
    <x:col min="4" max="4" width="11" hidden="0" customWidth="1"/>
    <x:col min="5" max="5" width="28" hidden="0" customWidth="1"/>
    <x:col min="6" max="6" width="32" hidden="0" customWidth="1"/>
    <x:col min="7" max="7" width="42" hidden="0" customWidth="1"/>
    <x:col min="8" max="8" width="39" hidden="0" customWidth="1"/>
    <x:col min="9" max="9" width="47" hidden="0" customWidth="1"/>
    <x:col min="10" max="10" width="14" hidden="0" customWidth="1"/>
    <x:col min="11" max="11" width="10" hidden="0" customWidth="1"/>
    <x:col min="12" max="12" width="13" hidden="0" customWidth="1"/>
    <x:col min="13" max="13" width="12" hidden="0" customWidth="1"/>
  </x:cols>
  <x:sheetData>
    <x:row r="1" ht="35" customHeight="1">
      <x:c r="A1" s="3" t="str">
        <x:v>CASOS DE PRUEBA DEL PORTAL HOSPITALARIO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>
      <x:c r="A2" s="7" t="str">
        <x:v>Ejecución documentada al 20/10/2026 · PR #4 abierta · repetir suite tras merge en MySQL 8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38" customHeight="1">
      <x:c r="A4" s="11" t="str">
        <x:v>No</x:v>
      </x:c>
      <x:c r="B4" s="11" t="str">
        <x:v>ID</x:v>
      </x:c>
      <x:c r="C4" s="11" t="str">
        <x:v>Caso de prueba</x:v>
      </x:c>
      <x:c r="D4" s="11" t="str">
        <x:v>Prioridad</x:v>
      </x:c>
      <x:c r="E4" s="11" t="str">
        <x:v>Precondiciones</x:v>
      </x:c>
      <x:c r="F4" s="11" t="str">
        <x:v>Datos de entrada</x:v>
      </x:c>
      <x:c r="G4" s="11" t="str">
        <x:v>Pasos</x:v>
      </x:c>
      <x:c r="H4" s="11" t="str">
        <x:v>Resultado esperado</x:v>
      </x:c>
      <x:c r="I4" s="11" t="str">
        <x:v>Resultado obtenido</x:v>
      </x:c>
      <x:c r="J4" s="11" t="str">
        <x:v>Estado prueba</x:v>
      </x:c>
      <x:c r="K4" s="11" t="str">
        <x:v>HU</x:v>
      </x:c>
      <x:c r="L4" s="11" t="str">
        <x:v>Criterio</x:v>
      </x:c>
      <x:c r="M4" s="11" t="str">
        <x:v>Tipo</x:v>
      </x:c>
    </x:row>
    <x:row r="5" ht="23" customHeight="1">
      <x:c r="A5" s="13" t="str">
        <x:v>PORTADA Y NAVEGACIÓN</x:v>
      </x:c>
      <x:c r="B5" s="13"/>
      <x:c r="C5" s="13"/>
      <x:c r="D5" s="13"/>
      <x:c r="E5" s="13"/>
      <x:c r="F5" s="13"/>
      <x:c r="G5" s="13"/>
      <x:c r="H5" s="13"/>
      <x:c r="I5" s="13"/>
      <x:c r="J5" s="13"/>
      <x:c r="K5" s="13"/>
      <x:c r="L5" s="13"/>
      <x:c r="M5" s="13"/>
    </x:row>
    <x:row r="6" ht="94" customHeight="1">
      <x:c r="A6" s="16" t="n">
        <x:v>1</x:v>
      </x:c>
      <x:c r="B6" s="16" t="str">
        <x:v>TC-01</x:v>
      </x:c>
      <x:c r="C6" s="15" t="str">
        <x:v>Abrir la portada y los enlaces principales</x:v>
      </x:c>
      <x:c r="D6" s="16" t="str">
        <x:v>Alta</x:v>
      </x:c>
      <x:c r="E6" s="15" t="str">
        <x:v>Tomcat activo; portal desplegado.</x:v>
      </x:c>
      <x:c r="F6" s="15" t="str">
        <x:v>URL local del portal.</x:v>
      </x:c>
      <x:c r="G6" s="15" t="str">
        <x:v>1. Abrir la portada.
2. Verificar título y enlaces ADMIN, DOCTOR, USER y APPOINTMENT.</x:v>
      </x:c>
      <x:c r="H6" s="15" t="str">
        <x:v>La portada responde y los enlaces principales son visibles.</x:v>
      </x:c>
      <x:c r="I6" s="15" t="str">
        <x:v>19/10: HTTP 200 y enlaces visibles; Cypress aprobado (PR #1 integrada).</x:v>
      </x:c>
      <x:c r="J6" s="16" t="str">
        <x:v>OK</x:v>
      </x:c>
      <x:c r="K6" s="16" t="str">
        <x:v>HU-01</x:v>
      </x:c>
      <x:c r="L6" s="16" t="str">
        <x:v>CA-01</x:v>
      </x:c>
      <x:c r="M6" s="16" t="str">
        <x:v>Positivo</x:v>
      </x:c>
    </x:row>
    <x:row r="7" ht="94" customHeight="1">
      <x:c r="A7" s="16" t="n">
        <x:v>2</x:v>
      </x:c>
      <x:c r="B7" s="16" t="str">
        <x:v>TC-02</x:v>
      </x:c>
      <x:c r="C7" s="15" t="str">
        <x:v>Abrir los formularios principales</x:v>
      </x:c>
      <x:c r="D7" s="16" t="str">
        <x:v>Alta</x:v>
      </x:c>
      <x:c r="E7" s="15" t="str">
        <x:v>Tomcat y portal disponibles.</x:v>
      </x:c>
      <x:c r="F7" s="15" t="str">
        <x:v>signup.jsp, user_login.jsp, doctor_login.jsp y user_appointment.jsp.</x:v>
      </x:c>
      <x:c r="G7" s="15" t="str">
        <x:v>1. Abrir cada ruta.
2. Comprobar que aparece el formulario correspondiente.</x:v>
      </x:c>
      <x:c r="H7" s="15" t="str">
        <x:v>Los cuatro formularios se muestran sin error de servidor.</x:v>
      </x:c>
      <x:c r="I7" s="15" t="str">
        <x:v>19/10: formularios visibles; Cypress smoke aprobado en el PR de Persona 3.</x:v>
      </x:c>
      <x:c r="J7" s="16" t="str">
        <x:v>OK</x:v>
      </x:c>
      <x:c r="K7" s="16" t="str">
        <x:v>HU-01</x:v>
      </x:c>
      <x:c r="L7" s="16" t="str">
        <x:v>CA-02</x:v>
      </x:c>
      <x:c r="M7" s="16" t="str">
        <x:v>Positivo</x:v>
      </x:c>
    </x:row>
    <x:row r="8" ht="23" customHeight="1">
      <x:c r="A8" s="13" t="str">
        <x:v>ADMINISTRACIÓN Y CATÁLOGO</x:v>
      </x:c>
      <x:c r="B8" s="13"/>
      <x:c r="C8" s="13"/>
      <x:c r="D8" s="13"/>
      <x:c r="E8" s="13"/>
      <x:c r="F8" s="13"/>
      <x:c r="G8" s="13"/>
      <x:c r="H8" s="13"/>
      <x:c r="I8" s="13"/>
      <x:c r="J8" s="13"/>
      <x:c r="K8" s="13"/>
      <x:c r="L8" s="13"/>
      <x:c r="M8" s="13"/>
    </x:row>
    <x:row r="9" ht="94" customHeight="1">
      <x:c r="A9" s="16" t="n">
        <x:v>3</x:v>
      </x:c>
      <x:c r="B9" s="16" t="str">
        <x:v>TC-03</x:v>
      </x:c>
      <x:c r="C9" s="15" t="str">
        <x:v>Iniciar sesión de administrador con datos válidos</x:v>
      </x:c>
      <x:c r="D9" s="16" t="str">
        <x:v>Alta</x:v>
      </x:c>
      <x:c r="E9" s="15" t="str">
        <x:v>Base hospital accesible; administrador de práctica.</x:v>
      </x:c>
      <x:c r="F9" s="15" t="str">
        <x:v>Correo y contraseña del administrador del entorno local.</x:v>
      </x:c>
      <x:c r="G9" s="15" t="str">
        <x:v>1. Abrir admin_login.jsp.
2. Ingresar credenciales válidas.
3. Enviar.</x:v>
      </x:c>
      <x:c r="H9" s="15" t="str">
        <x:v>Abre admin/index.jsp y muestra Admin Dashboard y contadores.</x:v>
      </x:c>
      <x:c r="I9" s="15" t="str">
        <x:v>19/10: panel y contadores visibles; Cypress smoke aprobado en el PR de Persona 2.</x:v>
      </x:c>
      <x:c r="J9" s="16" t="str">
        <x:v>OK</x:v>
      </x:c>
      <x:c r="K9" s="16" t="str">
        <x:v>HU-02</x:v>
      </x:c>
      <x:c r="L9" s="16" t="str">
        <x:v>CA-01</x:v>
      </x:c>
      <x:c r="M9" s="16" t="str">
        <x:v>Positivo</x:v>
      </x:c>
    </x:row>
    <x:row r="10" ht="94" customHeight="1">
      <x:c r="A10" s="16" t="n">
        <x:v>4</x:v>
      </x:c>
      <x:c r="B10" s="16" t="str">
        <x:v>TC-04</x:v>
      </x:c>
      <x:c r="C10" s="15" t="str">
        <x:v>Rechazar el login de administrador inválido</x:v>
      </x:c>
      <x:c r="D10" s="16" t="str">
        <x:v>Alta</x:v>
      </x:c>
      <x:c r="E10" s="15" t="str">
        <x:v>Formulario de administrador disponible.</x:v>
      </x:c>
      <x:c r="F10" s="15" t="str">
        <x:v>Correo del administrador; contraseña de prueba incorrecta.</x:v>
      </x:c>
      <x:c r="G10" s="15" t="str">
        <x:v>1. Abrir admin_login.jsp.
2. Ingresar contraseña incorrecta.
3. Enviar.</x:v>
      </x:c>
      <x:c r="H10" s="15" t="str">
        <x:v>Permanece en login, muestra error y no abre el panel.</x:v>
      </x:c>
      <x:c r="I10" s="15" t="str">
        <x:v>19/10: mensaje Invalid Username or Password.; Cypress smoke aprobado.</x:v>
      </x:c>
      <x:c r="J10" s="16" t="str">
        <x:v>OK</x:v>
      </x:c>
      <x:c r="K10" s="16" t="str">
        <x:v>HU-02</x:v>
      </x:c>
      <x:c r="L10" s="16" t="str">
        <x:v>CA-02</x:v>
      </x:c>
      <x:c r="M10" s="16" t="str">
        <x:v>Negativo</x:v>
      </x:c>
    </x:row>
    <x:row r="11" ht="94" customHeight="1">
      <x:c r="A11" s="16" t="n">
        <x:v>5</x:v>
      </x:c>
      <x:c r="B11" s="16" t="str">
        <x:v>TC-07</x:v>
      </x:c>
      <x:c r="C11" s="15" t="str">
        <x:v>Agregar una especialidad ficticia</x:v>
      </x:c>
      <x:c r="D11" s="16" t="str">
        <x:v>Media</x:v>
      </x:c>
      <x:c r="E11" s="15" t="str">
        <x:v>Administrador autenticado.</x:v>
      </x:c>
      <x:c r="F11" s="15" t="str">
        <x:v>Especialidad QA &lt;ID&gt;.</x:v>
      </x:c>
      <x:c r="G11" s="15" t="str">
        <x:v>1. Abrir modal Specialist.
2. Ingresar nombre único.
3. Guardar.
4. Abrir alta de doctor.</x:v>
      </x:c>
      <x:c r="H11" s="15" t="str">
        <x:v>Muestra confirmación y la especialidad aparece en el selector.</x:v>
      </x:c>
      <x:c r="I11" s="15" t="str">
        <x:v>19/10: aprobado en prueba aislada y flujo de PR #4; PR #4 aún abierta.</x:v>
      </x:c>
      <x:c r="J11" s="16" t="str">
        <x:v>OK</x:v>
      </x:c>
      <x:c r="K11" s="16" t="str">
        <x:v>HU-02</x:v>
      </x:c>
      <x:c r="L11" s="16" t="str">
        <x:v>CA-03</x:v>
      </x:c>
      <x:c r="M11" s="16" t="str">
        <x:v>Positivo</x:v>
      </x:c>
    </x:row>
    <x:row r="12" ht="94" customHeight="1">
      <x:c r="A12" s="16" t="n">
        <x:v>6</x:v>
      </x:c>
      <x:c r="B12" s="16" t="str">
        <x:v>TC-08</x:v>
      </x:c>
      <x:c r="C12" s="15" t="str">
        <x:v>Registrar un doctor ficticio</x:v>
      </x:c>
      <x:c r="D12" s="16" t="str">
        <x:v>Media</x:v>
      </x:c>
      <x:c r="E12" s="15" t="str">
        <x:v>TC-07; administrador autenticado.</x:v>
      </x:c>
      <x:c r="F12" s="15" t="str">
        <x:v>Doctor QA &lt;ID&gt;; doctor.qa.&lt;ID&gt;@example.test y demás campos ficticios.</x:v>
      </x:c>
      <x:c r="G12" s="15" t="str">
        <x:v>1. Abrir admin/doctor.jsp.
2. Completar datos y especialidad.
3. Registrar.
4. Abrir listado.</x:v>
      </x:c>
      <x:c r="H12" s="15" t="str">
        <x:v>Confirma el alta y muestra la fila del doctor en el listado.</x:v>
      </x:c>
      <x:c r="I12" s="15" t="str">
        <x:v>19/10: aprobado en prueba aislada y flujo de PR #4; PR #4 aún abierta.</x:v>
      </x:c>
      <x:c r="J12" s="16" t="str">
        <x:v>OK</x:v>
      </x:c>
      <x:c r="K12" s="16" t="str">
        <x:v>HU-02</x:v>
      </x:c>
      <x:c r="L12" s="16" t="str">
        <x:v>CA-04</x:v>
      </x:c>
      <x:c r="M12" s="16" t="str">
        <x:v>Positivo</x:v>
      </x:c>
    </x:row>
    <x:row r="13" ht="23" customHeight="1">
      <x:c r="A13" s="13" t="str">
        <x:v>PACIENTE Y CITA</x:v>
      </x:c>
      <x:c r="B13" s="13"/>
      <x:c r="C13" s="13"/>
      <x:c r="D13" s="13"/>
      <x:c r="E13" s="13"/>
      <x:c r="F13" s="13"/>
      <x:c r="G13" s="13"/>
      <x:c r="H13" s="13"/>
      <x:c r="I13" s="13"/>
      <x:c r="J13" s="13"/>
      <x:c r="K13" s="13"/>
      <x:c r="L13" s="13"/>
      <x:c r="M13" s="13"/>
    </x:row>
    <x:row r="14" ht="94" customHeight="1">
      <x:c r="A14" s="16" t="n">
        <x:v>7</x:v>
      </x:c>
      <x:c r="B14" s="16" t="str">
        <x:v>TC-05</x:v>
      </x:c>
      <x:c r="C14" s="15" t="str">
        <x:v>Registrar e ingresar como paciente</x:v>
      </x:c>
      <x:c r="D14" s="16" t="str">
        <x:v>Media</x:v>
      </x:c>
      <x:c r="E14" s="15" t="str">
        <x:v>Correo ficticio único; base disponible.</x:v>
      </x:c>
      <x:c r="F14" s="15" t="str">
        <x:v>Paciente QA &lt;ID&gt;; paciente.qa.&lt;ID&gt;@example.test.</x:v>
      </x:c>
      <x:c r="G14" s="15" t="str">
        <x:v>1. Abrir signup.jsp.
2. Registrar al paciente.
3. Abrir user_login.jsp.
4. Iniciar sesión.</x:v>
      </x:c>
      <x:c r="H14" s="15" t="str">
        <x:v>Muestra Register Successfully y el nombre del paciente en la portada.</x:v>
      </x:c>
      <x:c r="I14" s="15" t="str">
        <x:v>19/10: aprobado en spec temporal y en flujo de PR #4; PR #4 aún abierta.</x:v>
      </x:c>
      <x:c r="J14" s="16" t="str">
        <x:v>OK</x:v>
      </x:c>
      <x:c r="K14" s="16" t="str">
        <x:v>HU-03</x:v>
      </x:c>
      <x:c r="L14" s="16" t="str">
        <x:v>CA-01</x:v>
      </x:c>
      <x:c r="M14" s="16" t="str">
        <x:v>Positivo</x:v>
      </x:c>
    </x:row>
    <x:row r="15" ht="94" customHeight="1">
      <x:c r="A15" s="16" t="n">
        <x:v>8</x:v>
      </x:c>
      <x:c r="B15" s="16" t="str">
        <x:v>TC-06</x:v>
      </x:c>
      <x:c r="C15" s="15" t="str">
        <x:v>Rechazar login de paciente inválido</x:v>
      </x:c>
      <x:c r="D15" s="16" t="str">
        <x:v>Media</x:v>
      </x:c>
      <x:c r="E15" s="15" t="str">
        <x:v>Formulario de paciente disponible.</x:v>
      </x:c>
      <x:c r="F15" s="15" t="str">
        <x:v>Correo inexistente de example.test y contraseña incorrecta.</x:v>
      </x:c>
      <x:c r="G15" s="15" t="str">
        <x:v>1. Abrir user_login.jsp.
2. Ingresar datos inválidos.
3. Enviar.</x:v>
      </x:c>
      <x:c r="H15" s="15" t="str">
        <x:v>Permanece en login y muestra Invalid email or password.</x:v>
      </x:c>
      <x:c r="I15" s="15" t="str">
        <x:v>19/10: mensaje visible; Cypress full aprobado en el PR de Persona 3.</x:v>
      </x:c>
      <x:c r="J15" s="16" t="str">
        <x:v>OK</x:v>
      </x:c>
      <x:c r="K15" s="16" t="str">
        <x:v>HU-03</x:v>
      </x:c>
      <x:c r="L15" s="16" t="str">
        <x:v>CA-02</x:v>
      </x:c>
      <x:c r="M15" s="16" t="str">
        <x:v>Negativo</x:v>
      </x:c>
    </x:row>
    <x:row r="16" ht="94" customHeight="1">
      <x:c r="A16" s="16" t="n">
        <x:v>9</x:v>
      </x:c>
      <x:c r="B16" s="16" t="str">
        <x:v>TC-09</x:v>
      </x:c>
      <x:c r="C16" s="15" t="str">
        <x:v>Reservar y listar una cita</x:v>
      </x:c>
      <x:c r="D16" s="16" t="str">
        <x:v>Media</x:v>
      </x:c>
      <x:c r="E16" s="15" t="str">
        <x:v>Paciente y doctor registrados; sesión de paciente.</x:v>
      </x:c>
      <x:c r="F16" s="15" t="str">
        <x:v>Fecha futura y datos de contacto ficticios.</x:v>
      </x:c>
      <x:c r="G16" s="15" t="str">
        <x:v>1. Abrir user_appointment.jsp.
2. Seleccionar doctor y completar formulario.
3. Enviar.
4. Abrir listado.</x:v>
      </x:c>
      <x:c r="H16" s="15" t="str">
        <x:v>Confirma la reserva; lista paciente, doctor y estado Pending.</x:v>
      </x:c>
      <x:c r="I16" s="15" t="str">
        <x:v>19/10: reserva y listado aprobados en Cypress; evidencia en PR #4, aún abierta. Ambiente MariaDB.</x:v>
      </x:c>
      <x:c r="J16" s="16" t="str">
        <x:v>OK</x:v>
      </x:c>
      <x:c r="K16" s="16" t="str">
        <x:v>HU-03</x:v>
      </x:c>
      <x:c r="L16" s="16" t="str">
        <x:v>CA-03</x:v>
      </x:c>
      <x:c r="M16" s="16" t="str">
        <x:v>Positivo</x:v>
      </x:c>
    </x:row>
    <x:row r="17" ht="23" customHeight="1">
      <x:c r="A17" s="13" t="str">
        <x:v>ATENCIÓN MÉDICA</x:v>
      </x:c>
      <x:c r="B17" s="13"/>
      <x:c r="C17" s="13"/>
      <x:c r="D17" s="13"/>
      <x:c r="E17" s="13"/>
      <x:c r="F17" s="13"/>
      <x:c r="G17" s="13"/>
      <x:c r="H17" s="13"/>
      <x:c r="I17" s="13"/>
      <x:c r="J17" s="13"/>
      <x:c r="K17" s="13"/>
      <x:c r="L17" s="13"/>
      <x:c r="M17" s="13"/>
    </x:row>
    <x:row r="18" ht="94" customHeight="1">
      <x:c r="A18" s="16" t="n">
        <x:v>10</x:v>
      </x:c>
      <x:c r="B18" s="16" t="str">
        <x:v>TC-10</x:v>
      </x:c>
      <x:c r="C18" s="15" t="str">
        <x:v>Registrar el comentario del doctor</x:v>
      </x:c>
      <x:c r="D18" s="16" t="str">
        <x:v>Media</x:v>
      </x:c>
      <x:c r="E18" s="15" t="str">
        <x:v>TC-09; doctor autenticado.</x:v>
      </x:c>
      <x:c r="F18" s="15" t="str">
        <x:v>Comentario ficticio Control de prueba &lt;ID&gt;.</x:v>
      </x:c>
      <x:c r="G18" s="15" t="str">
        <x:v>1. Abrir doctor/patient.jsp.
2. Elegir la cita.
3. Escribir comentario.
4. Guardar.</x:v>
      </x:c>
      <x:c r="H18" s="15" t="str">
        <x:v>La cita aparece y el estado muestra el comentario guardado.</x:v>
      </x:c>
      <x:c r="I18" s="15" t="str">
        <x:v>19/10: comentario persistente y acción desactivada; Cypress aprobado en PR #4 abierta. Ambiente MariaDB.</x:v>
      </x:c>
      <x:c r="J18" s="16" t="str">
        <x:v>OK</x:v>
      </x:c>
      <x:c r="K18" s="16" t="str">
        <x:v>HU-04</x:v>
      </x:c>
      <x:c r="L18" s="16" t="str">
        <x:v>CA-01</x:v>
      </x:c>
      <x:c r="M18" s="16" t="str">
        <x:v>Positivo</x:v>
      </x:c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</x:row>
  </x:sheetData>
  <x:mergeCells>
    <x:mergeCell ref="A1:M1"/>
    <x:mergeCell ref="A2:M2"/>
    <x:mergeCell ref="A5:M5"/>
    <x:mergeCell ref="A8:M8"/>
    <x:mergeCell ref="A13:M13"/>
    <x:mergeCell ref="A17:M17"/>
  </x:mergeCells>
  <x:dataValidations count="1">
    <x:dataValidation type="list" sqref="J6:J200">
      <x:formula1>"OK,FALLO,PENDIENTE"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6" hidden="0" customWidth="1"/>
    <x:col min="2" max="2" width="10" hidden="0" customWidth="1"/>
    <x:col min="3" max="3" width="32" hidden="0" customWidth="1"/>
    <x:col min="4" max="4" width="11" hidden="0" customWidth="1"/>
    <x:col min="5" max="5" width="33" hidden="0" customWidth="1"/>
    <x:col min="6" max="6" width="43" hidden="0" customWidth="1"/>
    <x:col min="7" max="7" width="39" hidden="0" customWidth="1"/>
    <x:col min="8" max="8" width="47" hidden="0" customWidth="1"/>
    <x:col min="9" max="9" width="14" hidden="0" customWidth="1"/>
  </x:cols>
  <x:sheetData>
    <x:row r="1" ht="35" customHeight="1">
      <x:c r="A1" s="3" t="str">
        <x:v>HU-01  PORTADA Y FORMULARIOS</x:v>
      </x:c>
      <x:c r="B1" s="3"/>
      <x:c r="C1" s="3"/>
      <x:c r="D1" s="3"/>
      <x:c r="E1" s="3"/>
      <x:c r="F1" s="3"/>
      <x:c r="G1" s="3"/>
      <x:c r="H1" s="3"/>
      <x:c r="I1" s="3"/>
    </x:row>
    <x:row r="2" ht="37" customHeight="1">
      <x:c r="A2" s="14" t="str">
        <x:v>Como visitante quiero abrir el portal y llegar a los formularios principales para elegir mi acción.</x:v>
      </x:c>
      <x:c r="B2" s="14"/>
      <x:c r="C2" s="14"/>
      <x:c r="D2" s="14"/>
      <x:c r="E2" s="14"/>
      <x:c r="F2" s="14"/>
      <x:c r="G2" s="14"/>
      <x:c r="H2" s="14"/>
      <x:c r="I2" s="14"/>
    </x:row>
    <x:row r="3" ht="72" customHeight="1">
      <x:c r="A3" s="14" t="str">
        <x:v>CA-01: La portada y sus enlaces principales se muestran.  |  CA-02: Los formularios principales se abren.</x:v>
      </x:c>
      <x:c r="B3" s="14"/>
      <x:c r="C3" s="14"/>
      <x:c r="D3" s="14"/>
      <x:c r="E3" s="14"/>
      <x:c r="F3" s="14"/>
      <x:c r="G3" s="14"/>
      <x:c r="H3" s="14"/>
      <x:c r="I3" s="14"/>
    </x:row>
    <x:row r="4">
      <x:c r="A4" s="2"/>
      <x:c r="B4" s="2"/>
      <x:c r="C4" s="2"/>
      <x:c r="D4" s="2"/>
      <x:c r="E4" s="2"/>
      <x:c r="F4" s="2"/>
      <x:c r="G4" s="2"/>
      <x:c r="H4" s="2"/>
      <x:c r="I4" s="2"/>
    </x:row>
    <x:row r="5" ht="36" customHeight="1">
      <x:c r="A5" s="11" t="str">
        <x:v>No</x:v>
      </x:c>
      <x:c r="B5" s="11" t="str">
        <x:v>ID</x:v>
      </x:c>
      <x:c r="C5" s="11" t="str">
        <x:v>Caso de prueba</x:v>
      </x:c>
      <x:c r="D5" s="11" t="str">
        <x:v>Prioridad</x:v>
      </x:c>
      <x:c r="E5" s="11" t="str">
        <x:v>Datos de entrada</x:v>
      </x:c>
      <x:c r="F5" s="11" t="str">
        <x:v>Pasos</x:v>
      </x:c>
      <x:c r="G5" s="11" t="str">
        <x:v>Resultado esperado</x:v>
      </x:c>
      <x:c r="H5" s="11" t="str">
        <x:v>Resultado obtenido</x:v>
      </x:c>
      <x:c r="I5" s="11" t="str">
        <x:v>Estado</x:v>
      </x:c>
    </x:row>
    <x:row r="6" ht="94" customHeight="1">
      <x:c r="A6" s="16" t="n">
        <x:f>'Casos de prueba'!A6</x:f>
        <x:v>1</x:v>
      </x:c>
      <x:c r="B6" s="16" t="str">
        <x:f>'Casos de prueba'!B6</x:f>
        <x:v>TC-01</x:v>
      </x:c>
      <x:c r="C6" s="15" t="str">
        <x:f>'Casos de prueba'!C6</x:f>
        <x:v>Abrir la portada y los enlaces principales</x:v>
      </x:c>
      <x:c r="D6" s="15" t="str">
        <x:f>'Casos de prueba'!D6</x:f>
        <x:v>Alta</x:v>
      </x:c>
      <x:c r="E6" s="15" t="str">
        <x:f>'Casos de prueba'!F6</x:f>
        <x:v>URL local del portal.</x:v>
      </x:c>
      <x:c r="F6" s="15" t="str">
        <x:f>'Casos de prueba'!G6</x:f>
        <x:v>1. Abrir la portada.
2. Verificar título y enlaces ADMIN, DOCTOR, USER y APPOINTMENT.</x:v>
      </x:c>
      <x:c r="G6" s="15" t="str">
        <x:f>'Casos de prueba'!H6</x:f>
        <x:v>La portada responde y los enlaces principales son visibles.</x:v>
      </x:c>
      <x:c r="H6" s="15" t="str">
        <x:f>'Casos de prueba'!I6</x:f>
        <x:v>19/10: HTTP 200 y enlaces visibles; Cypress aprobado (PR #1 integrada).</x:v>
      </x:c>
      <x:c r="I6" s="16" t="str">
        <x:f>'Casos de prueba'!J6</x:f>
        <x:v>OK</x:v>
      </x:c>
    </x:row>
    <x:row r="7" ht="94" customHeight="1">
      <x:c r="A7" s="16" t="n">
        <x:f>'Casos de prueba'!A7</x:f>
        <x:v>2</x:v>
      </x:c>
      <x:c r="B7" s="16" t="str">
        <x:f>'Casos de prueba'!B7</x:f>
        <x:v>TC-02</x:v>
      </x:c>
      <x:c r="C7" s="15" t="str">
        <x:f>'Casos de prueba'!C7</x:f>
        <x:v>Abrir los formularios principales</x:v>
      </x:c>
      <x:c r="D7" s="15" t="str">
        <x:f>'Casos de prueba'!D7</x:f>
        <x:v>Alta</x:v>
      </x:c>
      <x:c r="E7" s="15" t="str">
        <x:f>'Casos de prueba'!F7</x:f>
        <x:v>signup.jsp, user_login.jsp, doctor_login.jsp y user_appointment.jsp.</x:v>
      </x:c>
      <x:c r="F7" s="15" t="str">
        <x:f>'Casos de prueba'!G7</x:f>
        <x:v>1. Abrir cada ruta.
2. Comprobar que aparece el formulario correspondiente.</x:v>
      </x:c>
      <x:c r="G7" s="15" t="str">
        <x:f>'Casos de prueba'!H7</x:f>
        <x:v>Los cuatro formularios se muestran sin error de servidor.</x:v>
      </x:c>
      <x:c r="H7" s="15" t="str">
        <x:f>'Casos de prueba'!I7</x:f>
        <x:v>19/10: formularios visibles; Cypress smoke aprobado en el PR de Persona 3.</x:v>
      </x:c>
      <x:c r="I7" s="16" t="str">
        <x:f>'Casos de prueba'!J7</x:f>
        <x:v>OK</x:v>
      </x:c>
    </x:row>
    <x:row r="8">
      <x:c r="A8" s="17"/>
      <x:c r="B8" s="17"/>
      <x:c r="C8" s="2"/>
      <x:c r="D8" s="2"/>
      <x:c r="E8" s="2"/>
      <x:c r="F8" s="2"/>
      <x:c r="G8" s="2"/>
      <x:c r="H8" s="2"/>
      <x:c r="I8" s="17"/>
    </x:row>
    <x:row r="9">
      <x:c r="A9" s="17"/>
      <x:c r="B9" s="17"/>
      <x:c r="C9" s="2"/>
      <x:c r="D9" s="2"/>
      <x:c r="E9" s="2"/>
      <x:c r="F9" s="2"/>
      <x:c r="G9" s="2"/>
      <x:c r="H9" s="2"/>
      <x:c r="I9" s="17"/>
    </x:row>
    <x:row r="10">
      <x:c r="A10" s="17"/>
      <x:c r="B10" s="17"/>
      <x:c r="C10" s="2"/>
      <x:c r="D10" s="2"/>
      <x:c r="E10" s="2"/>
      <x:c r="F10" s="2"/>
      <x:c r="G10" s="2"/>
      <x:c r="H10" s="2"/>
      <x:c r="I10" s="17"/>
    </x:row>
    <x:row r="11">
      <x:c r="A11" s="17"/>
      <x:c r="B11" s="17"/>
      <x:c r="C11" s="2"/>
      <x:c r="D11" s="2"/>
      <x:c r="E11" s="2"/>
      <x:c r="F11" s="2"/>
      <x:c r="G11" s="2"/>
      <x:c r="H11" s="2"/>
      <x:c r="I11" s="17"/>
    </x:row>
    <x:row r="12">
      <x:c r="A12" s="17"/>
      <x:c r="B12" s="17"/>
      <x:c r="C12" s="2"/>
      <x:c r="D12" s="2"/>
      <x:c r="E12" s="2"/>
      <x:c r="F12" s="2"/>
      <x:c r="G12" s="2"/>
      <x:c r="H12" s="2"/>
      <x:c r="I12" s="17"/>
    </x:row>
    <x:row r="13">
      <x:c r="A13" s="17"/>
      <x:c r="B13" s="17"/>
      <x:c r="C13" s="2"/>
      <x:c r="D13" s="2"/>
      <x:c r="E13" s="2"/>
      <x:c r="F13" s="2"/>
      <x:c r="G13" s="2"/>
      <x:c r="H13" s="2"/>
      <x:c r="I13" s="17"/>
    </x:row>
    <x:row r="14">
      <x:c r="A14" s="17"/>
      <x:c r="B14" s="17"/>
      <x:c r="C14" s="2"/>
      <x:c r="D14" s="2"/>
      <x:c r="E14" s="2"/>
      <x:c r="F14" s="2"/>
      <x:c r="G14" s="2"/>
      <x:c r="H14" s="2"/>
      <x:c r="I14" s="17"/>
    </x:row>
    <x:row r="15">
      <x:c r="A15" s="17"/>
      <x:c r="B15" s="17"/>
      <x:c r="C15" s="2"/>
      <x:c r="D15" s="2"/>
      <x:c r="E15" s="2"/>
      <x:c r="F15" s="2"/>
      <x:c r="G15" s="2"/>
      <x:c r="H15" s="2"/>
      <x:c r="I15" s="17"/>
    </x:row>
    <x:row r="16">
      <x:c r="A16" s="17"/>
      <x:c r="B16" s="17"/>
      <x:c r="C16" s="2"/>
      <x:c r="D16" s="2"/>
      <x:c r="E16" s="2"/>
      <x:c r="F16" s="2"/>
      <x:c r="G16" s="2"/>
      <x:c r="H16" s="2"/>
      <x:c r="I16" s="17"/>
    </x:row>
    <x:row r="17">
      <x:c r="A17" s="17"/>
      <x:c r="B17" s="17"/>
      <x:c r="C17" s="2"/>
      <x:c r="D17" s="2"/>
      <x:c r="E17" s="2"/>
      <x:c r="F17" s="2"/>
      <x:c r="G17" s="2"/>
      <x:c r="H17" s="2"/>
      <x:c r="I17" s="17"/>
    </x:row>
    <x:row r="18">
      <x:c r="A18" s="17"/>
      <x:c r="B18" s="17"/>
      <x:c r="C18" s="2"/>
      <x:c r="D18" s="2"/>
      <x:c r="E18" s="2"/>
      <x:c r="F18" s="2"/>
      <x:c r="G18" s="2"/>
      <x:c r="H18" s="2"/>
      <x:c r="I18" s="17"/>
    </x:row>
    <x:row r="19">
      <x:c r="A19" s="17"/>
      <x:c r="B19" s="17"/>
      <x:c r="C19" s="2"/>
      <x:c r="D19" s="2"/>
      <x:c r="E19" s="2"/>
      <x:c r="F19" s="2"/>
      <x:c r="G19" s="2"/>
      <x:c r="H19" s="2"/>
      <x:c r="I19" s="17"/>
    </x:row>
    <x:row r="20">
      <x:c r="A20" s="17"/>
      <x:c r="B20" s="17"/>
      <x:c r="C20" s="2"/>
      <x:c r="D20" s="2"/>
      <x:c r="E20" s="2"/>
      <x:c r="F20" s="2"/>
      <x:c r="G20" s="2"/>
      <x:c r="H20" s="2"/>
      <x:c r="I20" s="17"/>
    </x:row>
  </x:sheetData>
  <x:mergeCells>
    <x:mergeCell ref="A1:I1"/>
    <x:mergeCell ref="A2:I2"/>
    <x:mergeCell ref="A3:I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6" hidden="0" customWidth="1"/>
    <x:col min="2" max="2" width="10" hidden="0" customWidth="1"/>
    <x:col min="3" max="3" width="32" hidden="0" customWidth="1"/>
    <x:col min="4" max="4" width="11" hidden="0" customWidth="1"/>
    <x:col min="5" max="5" width="33" hidden="0" customWidth="1"/>
    <x:col min="6" max="6" width="43" hidden="0" customWidth="1"/>
    <x:col min="7" max="7" width="39" hidden="0" customWidth="1"/>
    <x:col min="8" max="8" width="47" hidden="0" customWidth="1"/>
    <x:col min="9" max="9" width="14" hidden="0" customWidth="1"/>
  </x:cols>
  <x:sheetData>
    <x:row r="1" ht="35" customHeight="1">
      <x:c r="A1" s="3" t="str">
        <x:v>HU-02  ADMINISTRACIÓN Y CATÁLOGO</x:v>
      </x:c>
      <x:c r="B1" s="3"/>
      <x:c r="C1" s="3"/>
      <x:c r="D1" s="3"/>
      <x:c r="E1" s="3"/>
      <x:c r="F1" s="3"/>
      <x:c r="G1" s="3"/>
      <x:c r="H1" s="3"/>
      <x:c r="I1" s="3"/>
    </x:row>
    <x:row r="2" ht="37" customHeight="1">
      <x:c r="A2" s="14" t="str">
        <x:v>Como administrador quiero acceder y mantener especialidades y doctores para ofrecer citas.</x:v>
      </x:c>
      <x:c r="B2" s="14"/>
      <x:c r="C2" s="14"/>
      <x:c r="D2" s="14"/>
      <x:c r="E2" s="14"/>
      <x:c r="F2" s="14"/>
      <x:c r="G2" s="14"/>
      <x:c r="H2" s="14"/>
      <x:c r="I2" s="14"/>
    </x:row>
    <x:row r="3" ht="72" customHeight="1">
      <x:c r="A3" s="14" t="str">
        <x:v>CA-01: El login válido abre el panel.  |  CA-02: El login inválido muestra error y niega acceso.  |  CA-03: La especialidad nueva queda disponible.  |  CA-04: El doctor registrado aparece en el listado.</x:v>
      </x:c>
      <x:c r="B3" s="14"/>
      <x:c r="C3" s="14"/>
      <x:c r="D3" s="14"/>
      <x:c r="E3" s="14"/>
      <x:c r="F3" s="14"/>
      <x:c r="G3" s="14"/>
      <x:c r="H3" s="14"/>
      <x:c r="I3" s="14"/>
    </x:row>
    <x:row r="4">
      <x:c r="A4" s="2"/>
      <x:c r="B4" s="2"/>
      <x:c r="C4" s="2"/>
      <x:c r="D4" s="2"/>
      <x:c r="E4" s="2"/>
      <x:c r="F4" s="2"/>
      <x:c r="G4" s="2"/>
      <x:c r="H4" s="2"/>
      <x:c r="I4" s="2"/>
    </x:row>
    <x:row r="5" ht="36" customHeight="1">
      <x:c r="A5" s="11" t="str">
        <x:v>No</x:v>
      </x:c>
      <x:c r="B5" s="11" t="str">
        <x:v>ID</x:v>
      </x:c>
      <x:c r="C5" s="11" t="str">
        <x:v>Caso de prueba</x:v>
      </x:c>
      <x:c r="D5" s="11" t="str">
        <x:v>Prioridad</x:v>
      </x:c>
      <x:c r="E5" s="11" t="str">
        <x:v>Datos de entrada</x:v>
      </x:c>
      <x:c r="F5" s="11" t="str">
        <x:v>Pasos</x:v>
      </x:c>
      <x:c r="G5" s="11" t="str">
        <x:v>Resultado esperado</x:v>
      </x:c>
      <x:c r="H5" s="11" t="str">
        <x:v>Resultado obtenido</x:v>
      </x:c>
      <x:c r="I5" s="11" t="str">
        <x:v>Estado</x:v>
      </x:c>
    </x:row>
    <x:row r="6" ht="94" customHeight="1">
      <x:c r="A6" s="16" t="n">
        <x:f>'Casos de prueba'!A9</x:f>
        <x:v>3</x:v>
      </x:c>
      <x:c r="B6" s="16" t="str">
        <x:f>'Casos de prueba'!B9</x:f>
        <x:v>TC-03</x:v>
      </x:c>
      <x:c r="C6" s="15" t="str">
        <x:f>'Casos de prueba'!C9</x:f>
        <x:v>Iniciar sesión de administrador con datos válidos</x:v>
      </x:c>
      <x:c r="D6" s="15" t="str">
        <x:f>'Casos de prueba'!D9</x:f>
        <x:v>Alta</x:v>
      </x:c>
      <x:c r="E6" s="15" t="str">
        <x:f>'Casos de prueba'!F9</x:f>
        <x:v>Correo y contraseña del administrador del entorno local.</x:v>
      </x:c>
      <x:c r="F6" s="15" t="str">
        <x:f>'Casos de prueba'!G9</x:f>
        <x:v>1. Abrir admin_login.jsp.
2. Ingresar credenciales válidas.
3. Enviar.</x:v>
      </x:c>
      <x:c r="G6" s="15" t="str">
        <x:f>'Casos de prueba'!H9</x:f>
        <x:v>Abre admin/index.jsp y muestra Admin Dashboard y contadores.</x:v>
      </x:c>
      <x:c r="H6" s="15" t="str">
        <x:f>'Casos de prueba'!I9</x:f>
        <x:v>19/10: panel y contadores visibles; Cypress smoke aprobado en el PR de Persona 2.</x:v>
      </x:c>
      <x:c r="I6" s="16" t="str">
        <x:f>'Casos de prueba'!J9</x:f>
        <x:v>OK</x:v>
      </x:c>
    </x:row>
    <x:row r="7" ht="94" customHeight="1">
      <x:c r="A7" s="16" t="n">
        <x:f>'Casos de prueba'!A10</x:f>
        <x:v>4</x:v>
      </x:c>
      <x:c r="B7" s="16" t="str">
        <x:f>'Casos de prueba'!B10</x:f>
        <x:v>TC-04</x:v>
      </x:c>
      <x:c r="C7" s="15" t="str">
        <x:f>'Casos de prueba'!C10</x:f>
        <x:v>Rechazar el login de administrador inválido</x:v>
      </x:c>
      <x:c r="D7" s="15" t="str">
        <x:f>'Casos de prueba'!D10</x:f>
        <x:v>Alta</x:v>
      </x:c>
      <x:c r="E7" s="15" t="str">
        <x:f>'Casos de prueba'!F10</x:f>
        <x:v>Correo del administrador; contraseña de prueba incorrecta.</x:v>
      </x:c>
      <x:c r="F7" s="15" t="str">
        <x:f>'Casos de prueba'!G10</x:f>
        <x:v>1. Abrir admin_login.jsp.
2. Ingresar contraseña incorrecta.
3. Enviar.</x:v>
      </x:c>
      <x:c r="G7" s="15" t="str">
        <x:f>'Casos de prueba'!H10</x:f>
        <x:v>Permanece en login, muestra error y no abre el panel.</x:v>
      </x:c>
      <x:c r="H7" s="15" t="str">
        <x:f>'Casos de prueba'!I10</x:f>
        <x:v>19/10: mensaje Invalid Username or Password.; Cypress smoke aprobado.</x:v>
      </x:c>
      <x:c r="I7" s="16" t="str">
        <x:f>'Casos de prueba'!J10</x:f>
        <x:v>OK</x:v>
      </x:c>
    </x:row>
    <x:row r="8" ht="94" customHeight="1">
      <x:c r="A8" s="16" t="n">
        <x:f>'Casos de prueba'!A11</x:f>
        <x:v>5</x:v>
      </x:c>
      <x:c r="B8" s="16" t="str">
        <x:f>'Casos de prueba'!B11</x:f>
        <x:v>TC-07</x:v>
      </x:c>
      <x:c r="C8" s="15" t="str">
        <x:f>'Casos de prueba'!C11</x:f>
        <x:v>Agregar una especialidad ficticia</x:v>
      </x:c>
      <x:c r="D8" s="15" t="str">
        <x:f>'Casos de prueba'!D11</x:f>
        <x:v>Media</x:v>
      </x:c>
      <x:c r="E8" s="15" t="str">
        <x:f>'Casos de prueba'!F11</x:f>
        <x:v>Especialidad QA &lt;ID&gt;.</x:v>
      </x:c>
      <x:c r="F8" s="15" t="str">
        <x:f>'Casos de prueba'!G11</x:f>
        <x:v>1. Abrir modal Specialist.
2. Ingresar nombre único.
3. Guardar.
4. Abrir alta de doctor.</x:v>
      </x:c>
      <x:c r="G8" s="15" t="str">
        <x:f>'Casos de prueba'!H11</x:f>
        <x:v>Muestra confirmación y la especialidad aparece en el selector.</x:v>
      </x:c>
      <x:c r="H8" s="15" t="str">
        <x:f>'Casos de prueba'!I11</x:f>
        <x:v>19/10: aprobado en prueba aislada y flujo de PR #4; PR #4 aún abierta.</x:v>
      </x:c>
      <x:c r="I8" s="16" t="str">
        <x:f>'Casos de prueba'!J11</x:f>
        <x:v>OK</x:v>
      </x:c>
    </x:row>
    <x:row r="9" ht="94" customHeight="1">
      <x:c r="A9" s="16" t="n">
        <x:f>'Casos de prueba'!A12</x:f>
        <x:v>6</x:v>
      </x:c>
      <x:c r="B9" s="16" t="str">
        <x:f>'Casos de prueba'!B12</x:f>
        <x:v>TC-08</x:v>
      </x:c>
      <x:c r="C9" s="15" t="str">
        <x:f>'Casos de prueba'!C12</x:f>
        <x:v>Registrar un doctor ficticio</x:v>
      </x:c>
      <x:c r="D9" s="15" t="str">
        <x:f>'Casos de prueba'!D12</x:f>
        <x:v>Media</x:v>
      </x:c>
      <x:c r="E9" s="15" t="str">
        <x:f>'Casos de prueba'!F12</x:f>
        <x:v>Doctor QA &lt;ID&gt;; doctor.qa.&lt;ID&gt;@example.test y demás campos ficticios.</x:v>
      </x:c>
      <x:c r="F9" s="15" t="str">
        <x:f>'Casos de prueba'!G12</x:f>
        <x:v>1. Abrir admin/doctor.jsp.
2. Completar datos y especialidad.
3. Registrar.
4. Abrir listado.</x:v>
      </x:c>
      <x:c r="G9" s="15" t="str">
        <x:f>'Casos de prueba'!H12</x:f>
        <x:v>Confirma el alta y muestra la fila del doctor en el listado.</x:v>
      </x:c>
      <x:c r="H9" s="15" t="str">
        <x:f>'Casos de prueba'!I12</x:f>
        <x:v>19/10: aprobado en prueba aislada y flujo de PR #4; PR #4 aún abierta.</x:v>
      </x:c>
      <x:c r="I9" s="16" t="str">
        <x:f>'Casos de prueba'!J12</x:f>
        <x:v>OK</x:v>
      </x:c>
    </x:row>
    <x:row r="10">
      <x:c r="A10" s="17"/>
      <x:c r="B10" s="17"/>
      <x:c r="C10" s="2"/>
      <x:c r="D10" s="2"/>
      <x:c r="E10" s="2"/>
      <x:c r="F10" s="2"/>
      <x:c r="G10" s="2"/>
      <x:c r="H10" s="2"/>
      <x:c r="I10" s="17"/>
    </x:row>
    <x:row r="11">
      <x:c r="A11" s="17"/>
      <x:c r="B11" s="17"/>
      <x:c r="C11" s="2"/>
      <x:c r="D11" s="2"/>
      <x:c r="E11" s="2"/>
      <x:c r="F11" s="2"/>
      <x:c r="G11" s="2"/>
      <x:c r="H11" s="2"/>
      <x:c r="I11" s="17"/>
    </x:row>
    <x:row r="12">
      <x:c r="A12" s="17"/>
      <x:c r="B12" s="17"/>
      <x:c r="C12" s="2"/>
      <x:c r="D12" s="2"/>
      <x:c r="E12" s="2"/>
      <x:c r="F12" s="2"/>
      <x:c r="G12" s="2"/>
      <x:c r="H12" s="2"/>
      <x:c r="I12" s="17"/>
    </x:row>
    <x:row r="13">
      <x:c r="A13" s="17"/>
      <x:c r="B13" s="17"/>
      <x:c r="C13" s="2"/>
      <x:c r="D13" s="2"/>
      <x:c r="E13" s="2"/>
      <x:c r="F13" s="2"/>
      <x:c r="G13" s="2"/>
      <x:c r="H13" s="2"/>
      <x:c r="I13" s="17"/>
    </x:row>
    <x:row r="14">
      <x:c r="A14" s="17"/>
      <x:c r="B14" s="17"/>
      <x:c r="C14" s="2"/>
      <x:c r="D14" s="2"/>
      <x:c r="E14" s="2"/>
      <x:c r="F14" s="2"/>
      <x:c r="G14" s="2"/>
      <x:c r="H14" s="2"/>
      <x:c r="I14" s="17"/>
    </x:row>
    <x:row r="15">
      <x:c r="A15" s="17"/>
      <x:c r="B15" s="17"/>
      <x:c r="C15" s="2"/>
      <x:c r="D15" s="2"/>
      <x:c r="E15" s="2"/>
      <x:c r="F15" s="2"/>
      <x:c r="G15" s="2"/>
      <x:c r="H15" s="2"/>
      <x:c r="I15" s="17"/>
    </x:row>
    <x:row r="16">
      <x:c r="A16" s="17"/>
      <x:c r="B16" s="17"/>
      <x:c r="C16" s="2"/>
      <x:c r="D16" s="2"/>
      <x:c r="E16" s="2"/>
      <x:c r="F16" s="2"/>
      <x:c r="G16" s="2"/>
      <x:c r="H16" s="2"/>
      <x:c r="I16" s="17"/>
    </x:row>
    <x:row r="17">
      <x:c r="A17" s="17"/>
      <x:c r="B17" s="17"/>
      <x:c r="C17" s="2"/>
      <x:c r="D17" s="2"/>
      <x:c r="E17" s="2"/>
      <x:c r="F17" s="2"/>
      <x:c r="G17" s="2"/>
      <x:c r="H17" s="2"/>
      <x:c r="I17" s="17"/>
    </x:row>
    <x:row r="18">
      <x:c r="A18" s="17"/>
      <x:c r="B18" s="17"/>
      <x:c r="C18" s="2"/>
      <x:c r="D18" s="2"/>
      <x:c r="E18" s="2"/>
      <x:c r="F18" s="2"/>
      <x:c r="G18" s="2"/>
      <x:c r="H18" s="2"/>
      <x:c r="I18" s="17"/>
    </x:row>
    <x:row r="19">
      <x:c r="A19" s="17"/>
      <x:c r="B19" s="17"/>
      <x:c r="C19" s="2"/>
      <x:c r="D19" s="2"/>
      <x:c r="E19" s="2"/>
      <x:c r="F19" s="2"/>
      <x:c r="G19" s="2"/>
      <x:c r="H19" s="2"/>
      <x:c r="I19" s="17"/>
    </x:row>
    <x:row r="20">
      <x:c r="A20" s="17"/>
      <x:c r="B20" s="17"/>
      <x:c r="C20" s="2"/>
      <x:c r="D20" s="2"/>
      <x:c r="E20" s="2"/>
      <x:c r="F20" s="2"/>
      <x:c r="G20" s="2"/>
      <x:c r="H20" s="2"/>
      <x:c r="I20" s="17"/>
    </x:row>
  </x:sheetData>
  <x:mergeCells>
    <x:mergeCell ref="A1:I1"/>
    <x:mergeCell ref="A2:I2"/>
    <x:mergeCell ref="A3:I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6" hidden="0" customWidth="1"/>
    <x:col min="2" max="2" width="10" hidden="0" customWidth="1"/>
    <x:col min="3" max="3" width="32" hidden="0" customWidth="1"/>
    <x:col min="4" max="4" width="11" hidden="0" customWidth="1"/>
    <x:col min="5" max="5" width="33" hidden="0" customWidth="1"/>
    <x:col min="6" max="6" width="43" hidden="0" customWidth="1"/>
    <x:col min="7" max="7" width="39" hidden="0" customWidth="1"/>
    <x:col min="8" max="8" width="47" hidden="0" customWidth="1"/>
    <x:col min="9" max="9" width="14" hidden="0" customWidth="1"/>
  </x:cols>
  <x:sheetData>
    <x:row r="1" ht="35" customHeight="1">
      <x:c r="A1" s="3" t="str">
        <x:v>HU-03  PACIENTE Y CITA</x:v>
      </x:c>
      <x:c r="B1" s="3"/>
      <x:c r="C1" s="3"/>
      <x:c r="D1" s="3"/>
      <x:c r="E1" s="3"/>
      <x:c r="F1" s="3"/>
      <x:c r="G1" s="3"/>
      <x:c r="H1" s="3"/>
      <x:c r="I1" s="3"/>
    </x:row>
    <x:row r="2" ht="37" customHeight="1">
      <x:c r="A2" s="14" t="str">
        <x:v>Como paciente quiero crear mi cuenta, acceder y reservar una cita para recibir atención.</x:v>
      </x:c>
      <x:c r="B2" s="14"/>
      <x:c r="C2" s="14"/>
      <x:c r="D2" s="14"/>
      <x:c r="E2" s="14"/>
      <x:c r="F2" s="14"/>
      <x:c r="G2" s="14"/>
      <x:c r="H2" s="14"/>
      <x:c r="I2" s="14"/>
    </x:row>
    <x:row r="3" ht="72" customHeight="1">
      <x:c r="A3" s="14" t="str">
        <x:v>CA-01: Registro e inicio de sesión válidos funcionan.  |  CA-02: Login inválido muestra error.  |  CA-03: La cita se guarda con doctor y estado Pending.</x:v>
      </x:c>
      <x:c r="B3" s="14"/>
      <x:c r="C3" s="14"/>
      <x:c r="D3" s="14"/>
      <x:c r="E3" s="14"/>
      <x:c r="F3" s="14"/>
      <x:c r="G3" s="14"/>
      <x:c r="H3" s="14"/>
      <x:c r="I3" s="14"/>
    </x:row>
    <x:row r="4">
      <x:c r="A4" s="2"/>
      <x:c r="B4" s="2"/>
      <x:c r="C4" s="2"/>
      <x:c r="D4" s="2"/>
      <x:c r="E4" s="2"/>
      <x:c r="F4" s="2"/>
      <x:c r="G4" s="2"/>
      <x:c r="H4" s="2"/>
      <x:c r="I4" s="2"/>
    </x:row>
    <x:row r="5" ht="36" customHeight="1">
      <x:c r="A5" s="11" t="str">
        <x:v>No</x:v>
      </x:c>
      <x:c r="B5" s="11" t="str">
        <x:v>ID</x:v>
      </x:c>
      <x:c r="C5" s="11" t="str">
        <x:v>Caso de prueba</x:v>
      </x:c>
      <x:c r="D5" s="11" t="str">
        <x:v>Prioridad</x:v>
      </x:c>
      <x:c r="E5" s="11" t="str">
        <x:v>Datos de entrada</x:v>
      </x:c>
      <x:c r="F5" s="11" t="str">
        <x:v>Pasos</x:v>
      </x:c>
      <x:c r="G5" s="11" t="str">
        <x:v>Resultado esperado</x:v>
      </x:c>
      <x:c r="H5" s="11" t="str">
        <x:v>Resultado obtenido</x:v>
      </x:c>
      <x:c r="I5" s="11" t="str">
        <x:v>Estado</x:v>
      </x:c>
    </x:row>
    <x:row r="6" ht="94" customHeight="1">
      <x:c r="A6" s="16" t="n">
        <x:f>'Casos de prueba'!A14</x:f>
        <x:v>7</x:v>
      </x:c>
      <x:c r="B6" s="16" t="str">
        <x:f>'Casos de prueba'!B14</x:f>
        <x:v>TC-05</x:v>
      </x:c>
      <x:c r="C6" s="15" t="str">
        <x:f>'Casos de prueba'!C14</x:f>
        <x:v>Registrar e ingresar como paciente</x:v>
      </x:c>
      <x:c r="D6" s="15" t="str">
        <x:f>'Casos de prueba'!D14</x:f>
        <x:v>Media</x:v>
      </x:c>
      <x:c r="E6" s="15" t="str">
        <x:f>'Casos de prueba'!F14</x:f>
        <x:v>Paciente QA &lt;ID&gt;; paciente.qa.&lt;ID&gt;@example.test.</x:v>
      </x:c>
      <x:c r="F6" s="15" t="str">
        <x:f>'Casos de prueba'!G14</x:f>
        <x:v>1. Abrir signup.jsp.
2. Registrar al paciente.
3. Abrir user_login.jsp.
4. Iniciar sesión.</x:v>
      </x:c>
      <x:c r="G6" s="15" t="str">
        <x:f>'Casos de prueba'!H14</x:f>
        <x:v>Muestra Register Successfully y el nombre del paciente en la portada.</x:v>
      </x:c>
      <x:c r="H6" s="15" t="str">
        <x:f>'Casos de prueba'!I14</x:f>
        <x:v>19/10: aprobado en spec temporal y en flujo de PR #4; PR #4 aún abierta.</x:v>
      </x:c>
      <x:c r="I6" s="16" t="str">
        <x:f>'Casos de prueba'!J14</x:f>
        <x:v>OK</x:v>
      </x:c>
    </x:row>
    <x:row r="7" ht="94" customHeight="1">
      <x:c r="A7" s="16" t="n">
        <x:f>'Casos de prueba'!A15</x:f>
        <x:v>8</x:v>
      </x:c>
      <x:c r="B7" s="16" t="str">
        <x:f>'Casos de prueba'!B15</x:f>
        <x:v>TC-06</x:v>
      </x:c>
      <x:c r="C7" s="15" t="str">
        <x:f>'Casos de prueba'!C15</x:f>
        <x:v>Rechazar login de paciente inválido</x:v>
      </x:c>
      <x:c r="D7" s="15" t="str">
        <x:f>'Casos de prueba'!D15</x:f>
        <x:v>Media</x:v>
      </x:c>
      <x:c r="E7" s="15" t="str">
        <x:f>'Casos de prueba'!F15</x:f>
        <x:v>Correo inexistente de example.test y contraseña incorrecta.</x:v>
      </x:c>
      <x:c r="F7" s="15" t="str">
        <x:f>'Casos de prueba'!G15</x:f>
        <x:v>1. Abrir user_login.jsp.
2. Ingresar datos inválidos.
3. Enviar.</x:v>
      </x:c>
      <x:c r="G7" s="15" t="str">
        <x:f>'Casos de prueba'!H15</x:f>
        <x:v>Permanece en login y muestra Invalid email or password.</x:v>
      </x:c>
      <x:c r="H7" s="15" t="str">
        <x:f>'Casos de prueba'!I15</x:f>
        <x:v>19/10: mensaje visible; Cypress full aprobado en el PR de Persona 3.</x:v>
      </x:c>
      <x:c r="I7" s="16" t="str">
        <x:f>'Casos de prueba'!J15</x:f>
        <x:v>OK</x:v>
      </x:c>
    </x:row>
    <x:row r="8" ht="94" customHeight="1">
      <x:c r="A8" s="16" t="n">
        <x:f>'Casos de prueba'!A16</x:f>
        <x:v>9</x:v>
      </x:c>
      <x:c r="B8" s="16" t="str">
        <x:f>'Casos de prueba'!B16</x:f>
        <x:v>TC-09</x:v>
      </x:c>
      <x:c r="C8" s="15" t="str">
        <x:f>'Casos de prueba'!C16</x:f>
        <x:v>Reservar y listar una cita</x:v>
      </x:c>
      <x:c r="D8" s="15" t="str">
        <x:f>'Casos de prueba'!D16</x:f>
        <x:v>Media</x:v>
      </x:c>
      <x:c r="E8" s="15" t="str">
        <x:f>'Casos de prueba'!F16</x:f>
        <x:v>Fecha futura y datos de contacto ficticios.</x:v>
      </x:c>
      <x:c r="F8" s="15" t="str">
        <x:f>'Casos de prueba'!G16</x:f>
        <x:v>1. Abrir user_appointment.jsp.
2. Seleccionar doctor y completar formulario.
3. Enviar.
4. Abrir listado.</x:v>
      </x:c>
      <x:c r="G8" s="15" t="str">
        <x:f>'Casos de prueba'!H16</x:f>
        <x:v>Confirma la reserva; lista paciente, doctor y estado Pending.</x:v>
      </x:c>
      <x:c r="H8" s="15" t="str">
        <x:f>'Casos de prueba'!I16</x:f>
        <x:v>19/10: reserva y listado aprobados en Cypress; evidencia en PR #4, aún abierta. Ambiente MariaDB.</x:v>
      </x:c>
      <x:c r="I8" s="16" t="str">
        <x:f>'Casos de prueba'!J16</x:f>
        <x:v>OK</x:v>
      </x:c>
    </x:row>
    <x:row r="9">
      <x:c r="A9" s="17"/>
      <x:c r="B9" s="17"/>
      <x:c r="C9" s="2"/>
      <x:c r="D9" s="2"/>
      <x:c r="E9" s="2"/>
      <x:c r="F9" s="2"/>
      <x:c r="G9" s="2"/>
      <x:c r="H9" s="2"/>
      <x:c r="I9" s="17"/>
    </x:row>
    <x:row r="10">
      <x:c r="A10" s="17"/>
      <x:c r="B10" s="17"/>
      <x:c r="C10" s="2"/>
      <x:c r="D10" s="2"/>
      <x:c r="E10" s="2"/>
      <x:c r="F10" s="2"/>
      <x:c r="G10" s="2"/>
      <x:c r="H10" s="2"/>
      <x:c r="I10" s="17"/>
    </x:row>
    <x:row r="11">
      <x:c r="A11" s="17"/>
      <x:c r="B11" s="17"/>
      <x:c r="C11" s="2"/>
      <x:c r="D11" s="2"/>
      <x:c r="E11" s="2"/>
      <x:c r="F11" s="2"/>
      <x:c r="G11" s="2"/>
      <x:c r="H11" s="2"/>
      <x:c r="I11" s="17"/>
    </x:row>
    <x:row r="12">
      <x:c r="A12" s="17"/>
      <x:c r="B12" s="17"/>
      <x:c r="C12" s="2"/>
      <x:c r="D12" s="2"/>
      <x:c r="E12" s="2"/>
      <x:c r="F12" s="2"/>
      <x:c r="G12" s="2"/>
      <x:c r="H12" s="2"/>
      <x:c r="I12" s="17"/>
    </x:row>
    <x:row r="13">
      <x:c r="A13" s="17"/>
      <x:c r="B13" s="17"/>
      <x:c r="C13" s="2"/>
      <x:c r="D13" s="2"/>
      <x:c r="E13" s="2"/>
      <x:c r="F13" s="2"/>
      <x:c r="G13" s="2"/>
      <x:c r="H13" s="2"/>
      <x:c r="I13" s="17"/>
    </x:row>
    <x:row r="14">
      <x:c r="A14" s="17"/>
      <x:c r="B14" s="17"/>
      <x:c r="C14" s="2"/>
      <x:c r="D14" s="2"/>
      <x:c r="E14" s="2"/>
      <x:c r="F14" s="2"/>
      <x:c r="G14" s="2"/>
      <x:c r="H14" s="2"/>
      <x:c r="I14" s="17"/>
    </x:row>
    <x:row r="15">
      <x:c r="A15" s="17"/>
      <x:c r="B15" s="17"/>
      <x:c r="C15" s="2"/>
      <x:c r="D15" s="2"/>
      <x:c r="E15" s="2"/>
      <x:c r="F15" s="2"/>
      <x:c r="G15" s="2"/>
      <x:c r="H15" s="2"/>
      <x:c r="I15" s="17"/>
    </x:row>
    <x:row r="16">
      <x:c r="A16" s="17"/>
      <x:c r="B16" s="17"/>
      <x:c r="C16" s="2"/>
      <x:c r="D16" s="2"/>
      <x:c r="E16" s="2"/>
      <x:c r="F16" s="2"/>
      <x:c r="G16" s="2"/>
      <x:c r="H16" s="2"/>
      <x:c r="I16" s="17"/>
    </x:row>
    <x:row r="17">
      <x:c r="A17" s="17"/>
      <x:c r="B17" s="17"/>
      <x:c r="C17" s="2"/>
      <x:c r="D17" s="2"/>
      <x:c r="E17" s="2"/>
      <x:c r="F17" s="2"/>
      <x:c r="G17" s="2"/>
      <x:c r="H17" s="2"/>
      <x:c r="I17" s="17"/>
    </x:row>
    <x:row r="18">
      <x:c r="A18" s="17"/>
      <x:c r="B18" s="17"/>
      <x:c r="C18" s="2"/>
      <x:c r="D18" s="2"/>
      <x:c r="E18" s="2"/>
      <x:c r="F18" s="2"/>
      <x:c r="G18" s="2"/>
      <x:c r="H18" s="2"/>
      <x:c r="I18" s="17"/>
    </x:row>
    <x:row r="19">
      <x:c r="A19" s="17"/>
      <x:c r="B19" s="17"/>
      <x:c r="C19" s="2"/>
      <x:c r="D19" s="2"/>
      <x:c r="E19" s="2"/>
      <x:c r="F19" s="2"/>
      <x:c r="G19" s="2"/>
      <x:c r="H19" s="2"/>
      <x:c r="I19" s="17"/>
    </x:row>
    <x:row r="20">
      <x:c r="A20" s="17"/>
      <x:c r="B20" s="17"/>
      <x:c r="C20" s="2"/>
      <x:c r="D20" s="2"/>
      <x:c r="E20" s="2"/>
      <x:c r="F20" s="2"/>
      <x:c r="G20" s="2"/>
      <x:c r="H20" s="2"/>
      <x:c r="I20" s="17"/>
    </x:row>
  </x:sheetData>
  <x:mergeCells>
    <x:mergeCell ref="A1:I1"/>
    <x:mergeCell ref="A2:I2"/>
    <x:mergeCell ref="A3:I3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6" hidden="0" customWidth="1"/>
    <x:col min="2" max="2" width="10" hidden="0" customWidth="1"/>
    <x:col min="3" max="3" width="32" hidden="0" customWidth="1"/>
    <x:col min="4" max="4" width="11" hidden="0" customWidth="1"/>
    <x:col min="5" max="5" width="33" hidden="0" customWidth="1"/>
    <x:col min="6" max="6" width="43" hidden="0" customWidth="1"/>
    <x:col min="7" max="7" width="39" hidden="0" customWidth="1"/>
    <x:col min="8" max="8" width="47" hidden="0" customWidth="1"/>
    <x:col min="9" max="9" width="14" hidden="0" customWidth="1"/>
  </x:cols>
  <x:sheetData>
    <x:row r="1" ht="35" customHeight="1">
      <x:c r="A1" s="3" t="str">
        <x:v>HU-04  ATENCIÓN MÉDICA</x:v>
      </x:c>
      <x:c r="B1" s="3"/>
      <x:c r="C1" s="3"/>
      <x:c r="D1" s="3"/>
      <x:c r="E1" s="3"/>
      <x:c r="F1" s="3"/>
      <x:c r="G1" s="3"/>
      <x:c r="H1" s="3"/>
      <x:c r="I1" s="3"/>
    </x:row>
    <x:row r="2" ht="37" customHeight="1">
      <x:c r="A2" s="14" t="str">
        <x:v>Como doctor quiero ver mis citas y registrar un comentario de atención.</x:v>
      </x:c>
      <x:c r="B2" s="14"/>
      <x:c r="C2" s="14"/>
      <x:c r="D2" s="14"/>
      <x:c r="E2" s="14"/>
      <x:c r="F2" s="14"/>
      <x:c r="G2" s="14"/>
      <x:c r="H2" s="14"/>
      <x:c r="I2" s="14"/>
    </x:row>
    <x:row r="3" ht="72" customHeight="1">
      <x:c r="A3" s="14" t="str">
        <x:v>CA-01: La cita se muestra y el comentario sustituye el estado inicial.</x:v>
      </x:c>
      <x:c r="B3" s="14"/>
      <x:c r="C3" s="14"/>
      <x:c r="D3" s="14"/>
      <x:c r="E3" s="14"/>
      <x:c r="F3" s="14"/>
      <x:c r="G3" s="14"/>
      <x:c r="H3" s="14"/>
      <x:c r="I3" s="14"/>
    </x:row>
    <x:row r="4">
      <x:c r="A4" s="2"/>
      <x:c r="B4" s="2"/>
      <x:c r="C4" s="2"/>
      <x:c r="D4" s="2"/>
      <x:c r="E4" s="2"/>
      <x:c r="F4" s="2"/>
      <x:c r="G4" s="2"/>
      <x:c r="H4" s="2"/>
      <x:c r="I4" s="2"/>
    </x:row>
    <x:row r="5" ht="36" customHeight="1">
      <x:c r="A5" s="11" t="str">
        <x:v>No</x:v>
      </x:c>
      <x:c r="B5" s="11" t="str">
        <x:v>ID</x:v>
      </x:c>
      <x:c r="C5" s="11" t="str">
        <x:v>Caso de prueba</x:v>
      </x:c>
      <x:c r="D5" s="11" t="str">
        <x:v>Prioridad</x:v>
      </x:c>
      <x:c r="E5" s="11" t="str">
        <x:v>Datos de entrada</x:v>
      </x:c>
      <x:c r="F5" s="11" t="str">
        <x:v>Pasos</x:v>
      </x:c>
      <x:c r="G5" s="11" t="str">
        <x:v>Resultado esperado</x:v>
      </x:c>
      <x:c r="H5" s="11" t="str">
        <x:v>Resultado obtenido</x:v>
      </x:c>
      <x:c r="I5" s="11" t="str">
        <x:v>Estado</x:v>
      </x:c>
    </x:row>
    <x:row r="6" ht="94" customHeight="1">
      <x:c r="A6" s="16" t="n">
        <x:f>'Casos de prueba'!A18</x:f>
        <x:v>10</x:v>
      </x:c>
      <x:c r="B6" s="16" t="str">
        <x:f>'Casos de prueba'!B18</x:f>
        <x:v>TC-10</x:v>
      </x:c>
      <x:c r="C6" s="15" t="str">
        <x:f>'Casos de prueba'!C18</x:f>
        <x:v>Registrar el comentario del doctor</x:v>
      </x:c>
      <x:c r="D6" s="15" t="str">
        <x:f>'Casos de prueba'!D18</x:f>
        <x:v>Media</x:v>
      </x:c>
      <x:c r="E6" s="15" t="str">
        <x:f>'Casos de prueba'!F18</x:f>
        <x:v>Comentario ficticio Control de prueba &lt;ID&gt;.</x:v>
      </x:c>
      <x:c r="F6" s="15" t="str">
        <x:f>'Casos de prueba'!G18</x:f>
        <x:v>1. Abrir doctor/patient.jsp.
2. Elegir la cita.
3. Escribir comentario.
4. Guardar.</x:v>
      </x:c>
      <x:c r="G6" s="15" t="str">
        <x:f>'Casos de prueba'!H18</x:f>
        <x:v>La cita aparece y el estado muestra el comentario guardado.</x:v>
      </x:c>
      <x:c r="H6" s="15" t="str">
        <x:f>'Casos de prueba'!I18</x:f>
        <x:v>19/10: comentario persistente y acción desactivada; Cypress aprobado en PR #4 abierta. Ambiente MariaDB.</x:v>
      </x:c>
      <x:c r="I6" s="16" t="str">
        <x:f>'Casos de prueba'!J18</x:f>
        <x:v>OK</x:v>
      </x:c>
    </x:row>
    <x:row r="7">
      <x:c r="A7" s="17"/>
      <x:c r="B7" s="17"/>
      <x:c r="C7" s="2"/>
      <x:c r="D7" s="2"/>
      <x:c r="E7" s="2"/>
      <x:c r="F7" s="2"/>
      <x:c r="G7" s="2"/>
      <x:c r="H7" s="2"/>
      <x:c r="I7" s="17"/>
    </x:row>
    <x:row r="8">
      <x:c r="A8" s="17"/>
      <x:c r="B8" s="17"/>
      <x:c r="C8" s="2"/>
      <x:c r="D8" s="2"/>
      <x:c r="E8" s="2"/>
      <x:c r="F8" s="2"/>
      <x:c r="G8" s="2"/>
      <x:c r="H8" s="2"/>
      <x:c r="I8" s="17"/>
    </x:row>
    <x:row r="9">
      <x:c r="A9" s="17"/>
      <x:c r="B9" s="17"/>
      <x:c r="C9" s="2"/>
      <x:c r="D9" s="2"/>
      <x:c r="E9" s="2"/>
      <x:c r="F9" s="2"/>
      <x:c r="G9" s="2"/>
      <x:c r="H9" s="2"/>
      <x:c r="I9" s="17"/>
    </x:row>
    <x:row r="10">
      <x:c r="A10" s="17"/>
      <x:c r="B10" s="17"/>
      <x:c r="C10" s="2"/>
      <x:c r="D10" s="2"/>
      <x:c r="E10" s="2"/>
      <x:c r="F10" s="2"/>
      <x:c r="G10" s="2"/>
      <x:c r="H10" s="2"/>
      <x:c r="I10" s="17"/>
    </x:row>
    <x:row r="11">
      <x:c r="A11" s="17"/>
      <x:c r="B11" s="17"/>
      <x:c r="C11" s="2"/>
      <x:c r="D11" s="2"/>
      <x:c r="E11" s="2"/>
      <x:c r="F11" s="2"/>
      <x:c r="G11" s="2"/>
      <x:c r="H11" s="2"/>
      <x:c r="I11" s="17"/>
    </x:row>
    <x:row r="12">
      <x:c r="A12" s="17"/>
      <x:c r="B12" s="17"/>
      <x:c r="C12" s="2"/>
      <x:c r="D12" s="2"/>
      <x:c r="E12" s="2"/>
      <x:c r="F12" s="2"/>
      <x:c r="G12" s="2"/>
      <x:c r="H12" s="2"/>
      <x:c r="I12" s="17"/>
    </x:row>
    <x:row r="13">
      <x:c r="A13" s="17"/>
      <x:c r="B13" s="17"/>
      <x:c r="C13" s="2"/>
      <x:c r="D13" s="2"/>
      <x:c r="E13" s="2"/>
      <x:c r="F13" s="2"/>
      <x:c r="G13" s="2"/>
      <x:c r="H13" s="2"/>
      <x:c r="I13" s="17"/>
    </x:row>
    <x:row r="14">
      <x:c r="A14" s="17"/>
      <x:c r="B14" s="17"/>
      <x:c r="C14" s="2"/>
      <x:c r="D14" s="2"/>
      <x:c r="E14" s="2"/>
      <x:c r="F14" s="2"/>
      <x:c r="G14" s="2"/>
      <x:c r="H14" s="2"/>
      <x:c r="I14" s="17"/>
    </x:row>
    <x:row r="15">
      <x:c r="A15" s="17"/>
      <x:c r="B15" s="17"/>
      <x:c r="C15" s="2"/>
      <x:c r="D15" s="2"/>
      <x:c r="E15" s="2"/>
      <x:c r="F15" s="2"/>
      <x:c r="G15" s="2"/>
      <x:c r="H15" s="2"/>
      <x:c r="I15" s="17"/>
    </x:row>
    <x:row r="16">
      <x:c r="A16" s="17"/>
      <x:c r="B16" s="17"/>
      <x:c r="C16" s="2"/>
      <x:c r="D16" s="2"/>
      <x:c r="E16" s="2"/>
      <x:c r="F16" s="2"/>
      <x:c r="G16" s="2"/>
      <x:c r="H16" s="2"/>
      <x:c r="I16" s="17"/>
    </x:row>
    <x:row r="17">
      <x:c r="A17" s="17"/>
      <x:c r="B17" s="17"/>
      <x:c r="C17" s="2"/>
      <x:c r="D17" s="2"/>
      <x:c r="E17" s="2"/>
      <x:c r="F17" s="2"/>
      <x:c r="G17" s="2"/>
      <x:c r="H17" s="2"/>
      <x:c r="I17" s="17"/>
    </x:row>
    <x:row r="18">
      <x:c r="A18" s="17"/>
      <x:c r="B18" s="17"/>
      <x:c r="C18" s="2"/>
      <x:c r="D18" s="2"/>
      <x:c r="E18" s="2"/>
      <x:c r="F18" s="2"/>
      <x:c r="G18" s="2"/>
      <x:c r="H18" s="2"/>
      <x:c r="I18" s="17"/>
    </x:row>
    <x:row r="19">
      <x:c r="A19" s="17"/>
      <x:c r="B19" s="17"/>
      <x:c r="C19" s="2"/>
      <x:c r="D19" s="2"/>
      <x:c r="E19" s="2"/>
      <x:c r="F19" s="2"/>
      <x:c r="G19" s="2"/>
      <x:c r="H19" s="2"/>
      <x:c r="I19" s="17"/>
    </x:row>
    <x:row r="20">
      <x:c r="A20" s="17"/>
      <x:c r="B20" s="17"/>
      <x:c r="C20" s="2"/>
      <x:c r="D20" s="2"/>
      <x:c r="E20" s="2"/>
      <x:c r="F20" s="2"/>
      <x:c r="G20" s="2"/>
      <x:c r="H20" s="2"/>
      <x:c r="I20" s="17"/>
    </x:row>
  </x:sheetData>
  <x:mergeCells>
    <x:mergeCell ref="A1:I1"/>
    <x:mergeCell ref="A2:I2"/>
    <x:mergeCell ref="A3:I3"/>
  </x:mergeCells>
  <x:pageMargins left="0.7" right="0.7" top="0.75" bottom="0.75" header="0.3" footer="0.3"/>
</x:worksheet>
</file>